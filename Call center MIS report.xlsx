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hidePivotFieldList="1"/>
  <mc:AlternateContent xmlns:mc="http://schemas.openxmlformats.org/markup-compatibility/2006">
    <mc:Choice Requires="x15">
      <x15ac:absPath xmlns:x15ac="http://schemas.microsoft.com/office/spreadsheetml/2010/11/ac" url="C:\Users\bhara\Desktop\Megha\Data Analytics\MIS Reporting\"/>
    </mc:Choice>
  </mc:AlternateContent>
  <xr:revisionPtr revIDLastSave="0" documentId="13_ncr:1_{637C7BBC-10BB-49A3-8333-971B00D53010}" xr6:coauthVersionLast="47" xr6:coauthVersionMax="47" xr10:uidLastSave="{00000000-0000-0000-0000-000000000000}"/>
  <bookViews>
    <workbookView xWindow="-108" yWindow="-108" windowWidth="23256" windowHeight="12456" firstSheet="1" activeTab="2" xr2:uid="{26D4546B-D2A1-4444-8EAF-A6228F96F0C1}"/>
  </bookViews>
  <sheets>
    <sheet name="Pivot" sheetId="6" state="hidden" r:id="rId1"/>
    <sheet name="Data" sheetId="2" r:id="rId2"/>
    <sheet name="Customer center Report" sheetId="5" r:id="rId3"/>
    <sheet name="Assets" sheetId="4" state="hidden" r:id="rId4"/>
  </sheets>
  <definedNames>
    <definedName name="_xlnm._FilterDatabase" localSheetId="1" hidden="1">Data!$B$3:$H$1003</definedName>
    <definedName name="_xlcn.WorksheetConnection_CallcenterMISreport.xlsxcalls1" hidden="1">Calls[]</definedName>
    <definedName name="_xlcn.WorksheetConnection_CallcenterMISreport.xlsxCustomers1" hidden="1">Customers[]</definedName>
    <definedName name="Slicer_Representative">#N/A</definedName>
  </definedNames>
  <calcPr calcId="191029"/>
  <pivotCaches>
    <pivotCache cacheId="0" r:id="rId5"/>
    <pivotCache cacheId="1" r:id="rId6"/>
    <pivotCache cacheId="2" r:id="rId7"/>
    <pivotCache cacheId="3" r:id="rId8"/>
    <pivotCache cacheId="12" r:id="rId9"/>
    <pivotCache cacheId="15" r:id="rId10"/>
    <pivotCache cacheId="18" r:id="rId11"/>
    <pivotCache cacheId="21" r:id="rId12"/>
    <pivotCache cacheId="2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MIS report.xlsx!Customers"/>
          <x15:modelTable id="calls" name="calls" connection="WorksheetConnection_Call center MIS repor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7" i="6" l="1"/>
  <c r="P20" i="6" s="1"/>
  <c r="P16" i="6"/>
  <c r="P19" i="6" s="1"/>
  <c r="Q19" i="5" a="1"/>
  <c r="Q19" i="5" s="1"/>
  <c r="P20" i="5" a="1"/>
  <c r="P20" i="5" s="1"/>
  <c r="N2" i="6"/>
  <c r="K6" i="6" a="1"/>
  <c r="K6" i="6"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P15" i="6"/>
  <c r="O7" i="6" l="1"/>
  <c r="O6" i="6"/>
  <c r="O10" i="6"/>
  <c r="N7" i="6"/>
  <c r="O9" i="6"/>
  <c r="O8" i="6"/>
  <c r="N6" i="6"/>
  <c r="N10" i="6"/>
  <c r="N9" i="6"/>
  <c r="N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4B1EF4-C86A-484D-9E19-73C5FF09DF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573F3CD-393B-44FC-873A-34C89EE52B77}" name="WorksheetConnection_Call center MIS report.xlsx!calls" type="102" refreshedVersion="8" minRefreshableVersion="5">
    <extLst>
      <ext xmlns:x15="http://schemas.microsoft.com/office/spreadsheetml/2010/11/main" uri="{DE250136-89BD-433C-8126-D09CA5730AF9}">
        <x15:connection id="calls" autoDelete="1">
          <x15:rangePr sourceName="_xlcn.WorksheetConnection_CallcenterMISreport.xlsxcalls1"/>
        </x15:connection>
      </ext>
    </extLst>
  </connection>
  <connection id="3" xr16:uid="{5993406D-AA9A-4915-83B1-FBFF3BA525FA}" name="WorksheetConnection_Call center MIS report.xlsx!Customers" type="102" refreshedVersion="8" minRefreshableVersion="5">
    <extLst>
      <ext xmlns:x15="http://schemas.microsoft.com/office/spreadsheetml/2010/11/main" uri="{DE250136-89BD-433C-8126-D09CA5730AF9}">
        <x15:connection id="Customers">
          <x15:rangePr sourceName="_xlcn.WorksheetConnection_CallcenterMISrepor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<sst xmlns="http://schemas.openxmlformats.org/spreadsheetml/2006/main" count="3171" uniqueCount="1083">
  <si>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</si>
  <si>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</si>
  <si>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</si>
  <si>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</si>
  <si>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</si>
  <si>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</si>
  <si>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</si>
  <si>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</si>
  <si>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</si>
  <si>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</si>
  <si>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</si>
  <si>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</si>
  <si>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</si>
  <si>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</si>
  <si>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</si>
  <si>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</si>
  <si>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</si>
  <si>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</si>
  <si>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</si>
  <si>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</si>
  <si>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</si>
  <si>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</si>
  <si>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</si>
  <si>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</si>
  <si>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</si>
  <si>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</si>
  <si>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</si>
  <si>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</si>
  <si>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</si>
  <si>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</si>
  <si>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</si>
  <si>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</si>
  <si>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</si>
  <si>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</si>
  <si>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</si>
  <si>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</si>
  <si>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</si>
  <si>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</si>
  <si>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</si>
  <si>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</si>
  <si>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</si>
  <si>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</si>
  <si>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</si>
  <si>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</si>
  <si>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</si>
  <si>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</si>
  <si>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</si>
  <si>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</si>
  <si>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</si>
  <si>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</si>
  <si>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</si>
  <si>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</si>
  <si>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</si>
  <si>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</si>
  <si>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</si>
  <si>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</si>
  <si>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</si>
  <si>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</si>
  <si>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</si>
  <si>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</si>
  <si>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</si>
  <si>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</si>
  <si>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</si>
  <si>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</si>
  <si>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</si>
  <si>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</si>
  <si>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</si>
  <si>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</si>
  <si>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</si>
  <si>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</si>
  <si>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</si>
  <si>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</si>
  <si>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</si>
  <si>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</si>
  <si>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</si>
  <si>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</si>
  <si>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</si>
  <si>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</si>
  <si>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</si>
  <si>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</si>
  <si>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</si>
  <si>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</si>
  <si>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</si>
  <si>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</si>
  <si>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</si>
  <si>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</si>
  <si>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</si>
  <si>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</si>
  <si>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</si>
  <si>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</si>
  <si>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</si>
  <si>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</si>
  <si>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</si>
  <si>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</si>
  <si>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</si>
  <si>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</si>
  <si>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</si>
  <si>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</si>
  <si>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</si>
  <si>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</si>
  <si>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</si>
  <si>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</si>
  <si>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</si>
  <si>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</si>
  <si>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</si>
  <si>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</si>
  <si>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</si>
  <si>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</si>
  <si>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</si>
  <si>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</si>
  <si>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</si>
  <si>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</si>
  <si>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</si>
  <si>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</si>
  <si>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</si>
  <si>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</si>
  <si>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</si>
  <si>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</si>
  <si>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</si>
  <si>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</si>
  <si>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</si>
  <si>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</si>
  <si>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</si>
  <si>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</si>
  <si>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</si>
  <si>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</si>
  <si>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</si>
  <si>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</si>
  <si>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</si>
  <si>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</si>
  <si>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</si>
  <si>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</si>
  <si>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</si>
  <si>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</si>
  <si>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</si>
  <si>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</si>
  <si>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</si>
  <si>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</si>
  <si>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</si>
  <si>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</si>
  <si>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</si>
  <si>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</si>
  <si>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</si>
  <si>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</si>
  <si>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</si>
  <si>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</si>
  <si>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</si>
  <si>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</si>
  <si>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</si>
  <si>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</si>
  <si>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</si>
  <si>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</si>
  <si>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</si>
  <si>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</si>
  <si>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</si>
  <si>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</si>
  <si>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</si>
  <si>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</si>
  <si>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</si>
  <si>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</si>
  <si>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</si>
  <si>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</si>
  <si>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</si>
  <si>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</si>
  <si>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</si>
  <si>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</si>
  <si>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</si>
  <si>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</si>
  <si>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</si>
  <si>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</si>
  <si>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</si>
  <si>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</si>
  <si>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</si>
  <si>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</si>
  <si>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</si>
  <si>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</si>
  <si>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</si>
  <si>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</si>
  <si>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</si>
  <si>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</si>
  <si>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</si>
  <si>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</si>
  <si>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</si>
  <si>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</si>
  <si>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</si>
  <si>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</si>
  <si>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</si>
  <si>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</si>
  <si>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</si>
  <si>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</si>
  <si>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</si>
  <si>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</si>
  <si>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</si>
  <si>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</si>
  <si>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</si>
  <si>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</si>
  <si>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</si>
  <si>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</si>
  <si>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</si>
  <si>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</si>
  <si>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</si>
  <si>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</si>
  <si>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</si>
  <si>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</si>
  <si>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</si>
  <si>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</si>
  <si>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</si>
  <si>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</si>
  <si>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</si>
  <si>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</si>
  <si>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</si>
  <si>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</si>
  <si>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</si>
  <si>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</si>
  <si>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</si>
  <si>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</si>
  <si>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</si>
  <si>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</si>
  <si>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</si>
  <si>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</si>
  <si>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</si>
  <si>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</si>
  <si>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</si>
  <si>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</si>
  <si>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</si>
  <si>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</si>
  <si>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</si>
  <si>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</si>
  <si>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</si>
  <si>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</si>
  <si>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</si>
  <si>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</si>
  <si>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</si>
  <si>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</si>
  <si>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</si>
  <si>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</si>
  <si>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</si>
  <si>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</si>
  <si>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</si>
  <si>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</si>
  <si>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</si>
  <si>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</si>
  <si>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</si>
  <si>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</si>
  <si>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</si>
  <si>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</si>
  <si>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</si>
  <si>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</si>
  <si>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</si>
  <si>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</si>
  <si>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</si>
  <si>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</si>
  <si>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</si>
  <si>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</si>
  <si>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</si>
  <si>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</si>
  <si>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</si>
  <si>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</si>
  <si>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</si>
  <si>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</si>
  <si>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</si>
  <si>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</si>
  <si>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</si>
  <si>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</si>
  <si>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</si>
  <si>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</si>
  <si>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</si>
  <si>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</si>
  <si>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</si>
  <si>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</si>
  <si>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</si>
  <si>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</si>
  <si>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</si>
  <si>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</si>
  <si>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</si>
  <si>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</si>
  <si>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</si>
  <si>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</si>
  <si>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</si>
  <si>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</si>
  <si>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</si>
  <si>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</si>
  <si>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</si>
  <si>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</si>
  <si>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</si>
  <si>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</si>
  <si>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</si>
  <si>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</si>
  <si>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</si>
  <si>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</si>
  <si>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</si>
  <si>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</si>
  <si>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</si>
  <si>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</si>
  <si>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</si>
  <si>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</si>
  <si>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</si>
  <si>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</si>
  <si>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</si>
  <si>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</si>
  <si>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</si>
  <si>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</si>
  <si>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</si>
  <si>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</si>
  <si>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</si>
  <si>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</si>
  <si>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</si>
  <si>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</si>
  <si>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</si>
  <si>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</si>
  <si>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</si>
  <si>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</si>
  <si>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</si>
  <si>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</si>
  <si>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</si>
  <si>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</si>
  <si>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</si>
  <si>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</si>
  <si>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</si>
  <si>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</si>
  <si>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</si>
  <si>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</si>
  <si>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</si>
  <si>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</si>
  <si>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</si>
  <si>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</si>
  <si>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</si>
  <si>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</si>
  <si>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</si>
  <si>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</si>
  <si>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</si>
  <si>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</si>
  <si>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</si>
  <si>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</si>
  <si>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</si>
  <si>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</si>
  <si>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</si>
  <si>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</si>
  <si>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</si>
  <si>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</si>
  <si>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</si>
  <si>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</si>
  <si>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</si>
  <si>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</si>
  <si>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</si>
  <si>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</si>
  <si>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</si>
  <si>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</si>
  <si>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</si>
  <si>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</si>
  <si>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</si>
  <si>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</si>
  <si>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</si>
  <si>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</si>
  <si>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</si>
  <si>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</si>
  <si>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</si>
  <si>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</si>
  <si>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</si>
  <si>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</si>
  <si>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</si>
  <si>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</si>
  <si>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</si>
  <si>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</si>
  <si>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</si>
  <si>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</si>
  <si>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</si>
  <si>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</si>
  <si>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</si>
  <si>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</si>
  <si>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</si>
  <si>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</si>
  <si>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</si>
  <si>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</si>
  <si>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</si>
  <si>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</si>
  <si>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</si>
  <si>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</si>
  <si>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</si>
  <si>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</si>
  <si>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</si>
  <si>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</si>
  <si>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</si>
  <si>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</si>
  <si>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</si>
  <si>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</si>
  <si>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</si>
  <si>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</si>
  <si>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</si>
  <si>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</si>
  <si>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</si>
  <si>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</si>
  <si>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</si>
  <si>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</si>
  <si>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</si>
  <si>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</si>
  <si>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</si>
  <si>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</si>
  <si>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</si>
  <si>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</si>
  <si>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</si>
  <si>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</si>
  <si>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</si>
  <si>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</si>
  <si>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</si>
  <si>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</si>
  <si>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</si>
  <si>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</si>
  <si>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</si>
  <si>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</si>
  <si>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</si>
  <si>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</si>
  <si>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</si>
  <si>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</si>
  <si>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</si>
  <si>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</si>
  <si>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</si>
  <si>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</si>
  <si>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</si>
  <si>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</si>
  <si>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</si>
  <si>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</si>
  <si>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</si>
  <si>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</si>
  <si>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</si>
  <si>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</si>
  <si>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</si>
  <si>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</si>
  <si>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</si>
  <si>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</si>
  <si>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</si>
  <si>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</si>
  <si>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</si>
  <si>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</si>
  <si>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</si>
  <si>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</si>
  <si>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</si>
  <si>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</si>
  <si>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</si>
  <si>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</si>
  <si>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</si>
  <si>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</si>
  <si>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</si>
  <si>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</si>
  <si>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</si>
  <si>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</si>
  <si>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</si>
  <si>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</si>
  <si>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</si>
  <si>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</si>
  <si>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</si>
  <si>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</si>
  <si>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</si>
  <si>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</si>
  <si>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</si>
  <si>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</si>
  <si>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</si>
  <si>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</si>
  <si>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</si>
  <si>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</si>
  <si>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</si>
  <si>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</si>
  <si>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</si>
  <si>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</si>
  <si>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</si>
  <si>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</si>
  <si>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</si>
  <si>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</si>
  <si>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</si>
  <si>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</si>
  <si>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</si>
  <si>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</si>
  <si>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</si>
  <si>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</si>
  <si>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</si>
  <si>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</si>
  <si>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</si>
  <si>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</si>
  <si>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</si>
  <si>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</si>
  <si>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</si>
  <si>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</si>
  <si>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</si>
  <si>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</si>
  <si>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</si>
  <si>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</si>
  <si>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</si>
  <si>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</si>
  <si>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</si>
  <si>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</si>
  <si>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</si>
  <si>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</si>
  <si>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</si>
  <si>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</si>
  <si>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</si>
  <si>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</si>
  <si>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</si>
  <si>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</si>
  <si>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</si>
  <si>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</si>
  <si>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</si>
  <si>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</si>
  <si>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</si>
  <si>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</si>
  <si>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</si>
  <si>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</si>
  <si>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</si>
  <si>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</si>
  <si>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</si>
  <si>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</si>
  <si>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</si>
  <si>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</si>
  <si>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</si>
  <si>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</si>
  <si>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</si>
  <si>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</si>
  <si>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</si>
  <si>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</si>
  <si>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</si>
  <si>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</si>
  <si>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</si>
  <si>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</si>
  <si>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</si>
  <si>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</si>
  <si>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</si>
  <si>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</si>
  <si>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</si>
  <si>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</si>
  <si>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</si>
  <si>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</si>
  <si>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</si>
  <si>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</si>
  <si>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</si>
  <si>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</si>
  <si>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</si>
  <si>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</si>
  <si>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</si>
  <si>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</si>
  <si>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</si>
  <si>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</si>
  <si>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</si>
  <si>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</si>
  <si>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</si>
  <si>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</si>
  <si>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</si>
  <si>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</si>
  <si>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</si>
  <si>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</si>
  <si>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</si>
  <si>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</si>
  <si>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</si>
  <si>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</si>
  <si>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</si>
  <si>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</si>
  <si>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</si>
  <si>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</si>
  <si>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</si>
  <si>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</si>
  <si>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</si>
  <si>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</si>
  <si>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</si>
  <si>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</si>
  <si>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</si>
  <si>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</si>
  <si>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</si>
  <si>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</si>
  <si>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</si>
  <si>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</si>
  <si>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</si>
  <si>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</si>
  <si>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</si>
  <si>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</si>
  <si>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</si>
  <si>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</si>
  <si>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</si>
  <si>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</si>
  <si>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</si>
  <si>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</si>
  <si>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</si>
  <si>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</si>
  <si>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</si>
  <si>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</si>
  <si>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</si>
  <si>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</si>
  <si>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</si>
  <si>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</si>
  <si>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</si>
  <si>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</si>
  <si>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</si>
  <si>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</si>
  <si>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</si>
  <si>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</si>
  <si>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</si>
  <si>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</si>
  <si>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</si>
  <si>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</si>
  <si>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</si>
  <si>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</si>
  <si>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</si>
  <si>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</si>
  <si>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</si>
  <si>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</si>
  <si>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</si>
  <si>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</si>
  <si>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</si>
  <si>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</si>
  <si>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</si>
  <si>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</si>
  <si>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</si>
  <si>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</si>
  <si>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</si>
  <si>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</si>
  <si>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</si>
  <si>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</si>
  <si>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</si>
  <si>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</si>
  <si>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</si>
  <si>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</si>
  <si>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</si>
  <si>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</si>
  <si>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</si>
  <si>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</si>
  <si>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</si>
  <si>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</si>
  <si>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</si>
  <si>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</si>
  <si>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</si>
  <si>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</si>
  <si>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</si>
  <si>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</si>
  <si>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</si>
  <si>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</si>
  <si>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</si>
  <si>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</si>
  <si>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</si>
  <si>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</si>
  <si>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</si>
  <si>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</si>
  <si>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</si>
  <si>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</si>
  <si>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</si>
  <si>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</si>
  <si>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</si>
  <si>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</si>
  <si>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</si>
  <si>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</si>
  <si>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</si>
  <si>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</si>
  <si>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</si>
  <si>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</si>
  <si>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</si>
  <si>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</si>
  <si>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</si>
  <si>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</si>
  <si>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</si>
  <si>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</si>
  <si>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</si>
  <si>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</si>
  <si>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</si>
  <si>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</si>
  <si>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</si>
  <si>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</si>
  <si>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</si>
  <si>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</si>
  <si>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</si>
  <si>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</si>
  <si>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</si>
  <si>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</si>
  <si>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</si>
  <si>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</si>
  <si>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</si>
  <si>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</si>
  <si>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</si>
  <si>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</si>
  <si>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</si>
  <si>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</si>
  <si>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</si>
  <si>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</si>
  <si>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</si>
  <si>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</si>
  <si>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</si>
  <si>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</si>
  <si>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</si>
  <si>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</si>
  <si>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</si>
  <si>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</si>
  <si>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</si>
  <si>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</si>
  <si>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</si>
  <si>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</si>
  <si>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</si>
  <si>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</si>
  <si>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</si>
  <si>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</si>
  <si>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</si>
  <si>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</si>
  <si>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</si>
  <si>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</si>
  <si>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</si>
  <si>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</si>
  <si>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</si>
  <si>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</si>
  <si>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</si>
  <si>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</si>
  <si>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</si>
  <si>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</si>
  <si>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</si>
  <si>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</si>
  <si>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</si>
  <si>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</si>
  <si>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</si>
  <si>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</si>
  <si>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</si>
  <si>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</si>
  <si>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</si>
  <si>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</si>
  <si>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</si>
  <si>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</si>
  <si>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</si>
  <si>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</si>
  <si>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</si>
  <si>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</si>
  <si>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</si>
  <si>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</si>
  <si>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</si>
  <si>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</si>
  <si>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</si>
  <si>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</si>
  <si>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</si>
  <si>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</si>
  <si>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</si>
  <si>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</si>
  <si>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</si>
  <si>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</si>
  <si>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</si>
  <si>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</si>
  <si>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</si>
  <si>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</si>
  <si>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</si>
  <si>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</si>
  <si>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</si>
  <si>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</si>
  <si>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</si>
  <si>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</si>
  <si>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</si>
  <si>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</si>
  <si>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</si>
  <si>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</si>
  <si>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</si>
  <si>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</si>
  <si>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</si>
  <si>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</si>
  <si>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</si>
  <si>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</si>
  <si>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</si>
  <si>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</si>
  <si>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</si>
  <si>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</si>
  <si>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</si>
  <si>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</si>
  <si>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</si>
  <si>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</si>
  <si>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</si>
  <si>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</si>
  <si>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</si>
  <si>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</si>
  <si>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</si>
  <si>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</si>
  <si>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</si>
  <si>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</si>
  <si>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</si>
  <si>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</si>
  <si>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</si>
  <si>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</si>
  <si>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</si>
  <si>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</si>
  <si>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</si>
  <si>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</si>
  <si>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</si>
  <si>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</si>
  <si>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</si>
  <si>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</si>
  <si>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</si>
  <si>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</si>
  <si>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</si>
  <si>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</si>
  <si>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</si>
  <si>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</si>
  <si>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</si>
  <si>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</si>
  <si>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</si>
  <si>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</si>
  <si>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</si>
  <si>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</si>
  <si>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</si>
  <si>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</si>
  <si>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</si>
  <si>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</si>
  <si>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</si>
  <si>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</si>
  <si>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</si>
  <si>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</si>
  <si>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</si>
  <si>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</si>
  <si>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</si>
  <si>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</si>
  <si>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</si>
  <si>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</si>
  <si>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</si>
  <si>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</si>
  <si>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</si>
  <si>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</si>
  <si>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</si>
  <si>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</si>
  <si>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</si>
  <si>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</si>
  <si>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</si>
  <si>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</si>
  <si>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</si>
  <si>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</si>
  <si>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</si>
  <si>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</si>
  <si>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</si>
  <si>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</si>
  <si>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</si>
  <si>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</si>
  <si>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</si>
  <si>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</si>
  <si>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</si>
  <si>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</si>
  <si>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</si>
  <si>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</si>
  <si>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</si>
  <si>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</si>
  <si>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</si>
  <si>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</si>
  <si>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</si>
  <si>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</si>
  <si>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</si>
  <si>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</si>
  <si>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</si>
  <si>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</si>
  <si>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</si>
  <si>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</si>
  <si>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</si>
  <si>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</si>
  <si>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</si>
  <si>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</si>
  <si>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</si>
  <si>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</si>
  <si>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</si>
  <si>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</si>
  <si>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</si>
  <si>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</si>
  <si>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</si>
  <si>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</si>
  <si>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</si>
  <si>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</si>
  <si>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</si>
  <si>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</si>
  <si>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</si>
  <si>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</si>
  <si>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</si>
  <si>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</si>
  <si>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</si>
  <si>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</si>
  <si>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</si>
  <si>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</si>
  <si>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</si>
  <si>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</si>
  <si>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</si>
  <si>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</si>
  <si>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</si>
  <si>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</si>
  <si>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</si>
  <si>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</si>
  <si>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</si>
  <si>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</si>
  <si>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</si>
  <si>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</si>
  <si>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</si>
  <si>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</si>
  <si>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</si>
  <si>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</si>
  <si>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</si>
  <si>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</si>
  <si>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</si>
  <si>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</si>
  <si>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</si>
  <si>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</si>
  <si>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</si>
  <si>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</si>
  <si>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</si>
  <si>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</si>
  <si>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</si>
  <si>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</si>
  <si>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</si>
  <si>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</si>
  <si>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</si>
  <si>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</si>
  <si>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</si>
  <si>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</si>
  <si>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</si>
  <si>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</si>
  <si>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</si>
  <si>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</si>
  <si>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</si>
  <si>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</si>
  <si>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</si>
  <si>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</si>
  <si>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</si>
  <si>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</si>
  <si>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</si>
  <si>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</si>
  <si>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</si>
  <si>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</si>
  <si>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</si>
  <si>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</si>
  <si>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</si>
  <si>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</si>
  <si>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</si>
  <si>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</si>
  <si>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</si>
  <si>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</si>
  <si>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</si>
  <si>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</si>
  <si>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</si>
  <si>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</si>
  <si>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</si>
  <si>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</si>
  <si>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</si>
  <si>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</si>
  <si>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</si>
  <si>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</si>
  <si>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</si>
  <si>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</si>
  <si>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</si>
  <si>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</si>
  <si>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</si>
  <si>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</si>
  <si>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</si>
  <si>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</si>
  <si>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</si>
  <si>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</si>
  <si>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</si>
  <si>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</si>
  <si>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</si>
  <si>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</si>
  <si>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</si>
  <si>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</si>
  <si>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</si>
  <si>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</si>
  <si>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</si>
  <si>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</si>
  <si>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</si>
  <si>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</si>
  <si>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</si>
  <si>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</si>
  <si>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</si>
  <si>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</si>
  <si>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</si>
  <si>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</si>
  <si>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</si>
  <si>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</si>
  <si>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</si>
  <si>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</si>
  <si>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</si>
  <si>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</si>
  <si>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</si>
  <si>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</si>
  <si>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</si>
  <si>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</si>
  <si>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</si>
  <si>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</si>
  <si>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</si>
  <si>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</si>
  <si>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</si>
  <si>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</si>
  <si>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</si>
  <si>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</si>
  <si>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</si>
  <si>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</si>
  <si>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</si>
  <si>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</si>
  <si>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</si>
  <si>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</si>
  <si>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</si>
  <si>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</si>
  <si>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</si>
  <si>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</si>
  <si>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</si>
  <si>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</si>
  <si>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</si>
  <si>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</si>
  <si>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</si>
  <si>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</si>
  <si>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</si>
  <si>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</si>
  <si>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</si>
  <si>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</si>
  <si>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</si>
  <si>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</si>
  <si>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</si>
  <si>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</si>
  <si>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</si>
  <si>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</si>
  <si>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</si>
  <si>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</si>
  <si>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</si>
  <si>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</si>
  <si>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</si>
  <si>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</si>
  <si>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</si>
  <si>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</si>
  <si>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</si>
  <si>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</si>
  <si>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</si>
  <si>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</si>
  <si>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</si>
  <si>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</si>
  <si>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</si>
  <si>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</si>
  <si>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</si>
  <si>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</si>
  <si>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</si>
  <si>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</si>
  <si>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</si>
  <si>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</si>
  <si>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</si>
  <si>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</si>
  <si>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</si>
  <si>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</si>
  <si>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</si>
  <si>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</si>
  <si>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</si>
  <si>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</si>
  <si>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</si>
  <si>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</si>
  <si>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</si>
  <si>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</si>
  <si>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</si>
  <si>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</si>
  <si>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</si>
  <si>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</si>
  <si>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</si>
  <si>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</si>
  <si>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</si>
  <si>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</si>
  <si>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</si>
  <si>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</si>
  <si>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</si>
  <si>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</si>
  <si>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</si>
  <si>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</si>
  <si>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</si>
  <si>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</si>
  <si>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</si>
  <si>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</si>
  <si>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</si>
  <si>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</si>
  <si>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</si>
  <si>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</si>
  <si>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Sunday</t>
  </si>
  <si>
    <t>Tuesday</t>
  </si>
  <si>
    <t>Thursday</t>
  </si>
  <si>
    <t>Friday</t>
  </si>
  <si>
    <t>Monday</t>
  </si>
  <si>
    <t>Wednesday</t>
  </si>
  <si>
    <t>Saturday</t>
  </si>
  <si>
    <t>For Graph</t>
  </si>
  <si>
    <t>Rep</t>
  </si>
  <si>
    <t>Calls</t>
  </si>
  <si>
    <t>Amount</t>
  </si>
  <si>
    <t>Sel.Calls</t>
  </si>
  <si>
    <t>Sel.Amount</t>
  </si>
  <si>
    <t>Selected Rep</t>
  </si>
  <si>
    <t>Gender</t>
  </si>
  <si>
    <t>Total</t>
  </si>
  <si>
    <t>s</t>
  </si>
  <si>
    <t>% of Calls</t>
  </si>
  <si>
    <t>Rep Summary</t>
  </si>
  <si>
    <t>Call Rank</t>
  </si>
  <si>
    <t>Amount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</si>
</sst>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_ [$₹-4009]\ * #,##0.00_ ;_ [$₹-4009]\ * \-#,##0.00_ ;_ [$₹-4009]\ * &quot;-&quot;??_ ;_ @_ "/>
    <numFmt numFmtId="168" formatCode="&quot;₹&quot;\ #,##0"/>
    <numFmt numFmtId="169" formatCode="&quot;₹&quot;\ #,##0;#,##0\ \-&quot;₹&quot;;&quot;₹&quot;\ #,##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4"/>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medium">
        <color indexed="64"/>
      </bottom>
      <diagonal/>
    </border>
  </borders>
  <cellStyleXfs count="1">
    <xf numFmtId="0" fontId="0" fillId="0" borderId="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0" borderId="12" xfId="0" applyFont="1" applyBorder="1"/>
    <xf numFmtId="167" fontId="0" fillId="0" borderId="0" xfId="0" applyNumberFormat="1"/>
    <xf numFmtId="0" fontId="0" fillId="0" borderId="0" xfId="0" applyAlignment="1">
      <alignment horizontal="left" indent="1"/>
    </xf>
    <xf numFmtId="0" fontId="0" fillId="4" borderId="0" xfId="0" applyFill="1"/>
    <xf numFmtId="168" fontId="4" fillId="4" borderId="0" xfId="0" applyNumberFormat="1" applyFont="1" applyFill="1"/>
    <xf numFmtId="0" fontId="5" fillId="4" borderId="1" xfId="0" applyFont="1" applyFill="1" applyBorder="1" applyAlignment="1">
      <alignment horizontal="center"/>
    </xf>
    <xf numFmtId="0" fontId="5" fillId="4" borderId="1" xfId="0" applyFont="1" applyFill="1" applyBorder="1"/>
    <xf numFmtId="0" fontId="0" fillId="4" borderId="7" xfId="0" applyFill="1" applyBorder="1" applyAlignment="1">
      <alignment horizontal="center"/>
    </xf>
    <xf numFmtId="0" fontId="0" fillId="4" borderId="11" xfId="0" applyFill="1" applyBorder="1" applyAlignment="1">
      <alignment horizontal="center"/>
    </xf>
    <xf numFmtId="0" fontId="0" fillId="4" borderId="4" xfId="0" applyFill="1" applyBorder="1" applyAlignment="1">
      <alignment horizontal="center"/>
    </xf>
    <xf numFmtId="168" fontId="4" fillId="4" borderId="10" xfId="0" applyNumberFormat="1" applyFont="1" applyFill="1" applyBorder="1"/>
    <xf numFmtId="0" fontId="0" fillId="4" borderId="9" xfId="0" applyFill="1" applyBorder="1"/>
    <xf numFmtId="169" fontId="0" fillId="0" borderId="0" xfId="0" applyNumberFormat="1"/>
  </cellXfs>
  <cellStyles count="1">
    <cellStyle name="Normal" xfId="0" builtinId="0"/>
  </cellStyles>
  <dxfs count="18">
    <dxf>
      <fill>
        <patternFill>
          <bgColor theme="8" tint="0.59996337778862885"/>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Light5 2" pivot="0" table="0" count="10" xr9:uid="{0537A709-1142-4F9C-AB7C-C65876A338DA}">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8" tint="0.59999389629810485"/>
              <bgColor theme="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MIS report.xlsx]Pivot!Weekly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Pivot!$B$32</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Pivot!$A$33:$A$40</c:f>
              <c:strCache>
                <c:ptCount val="7"/>
                <c:pt idx="0">
                  <c:v>Sunday</c:v>
                </c:pt>
                <c:pt idx="1">
                  <c:v>Monday</c:v>
                </c:pt>
                <c:pt idx="2">
                  <c:v>Tuesday</c:v>
                </c:pt>
                <c:pt idx="3">
                  <c:v>Wednesday</c:v>
                </c:pt>
                <c:pt idx="4">
                  <c:v>Thursday</c:v>
                </c:pt>
                <c:pt idx="5">
                  <c:v>Friday</c:v>
                </c:pt>
                <c:pt idx="6">
                  <c:v>Saturday</c:v>
                </c:pt>
              </c:strCache>
            </c:strRef>
          </c:cat>
          <c:val>
            <c:numRef>
              <c:f>Pivot!$B$33:$B$40</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76BF-41BF-AE7F-5A28EC16BFE4}"/>
            </c:ext>
          </c:extLst>
        </c:ser>
        <c:dLbls>
          <c:showLegendKey val="0"/>
          <c:showVal val="0"/>
          <c:showCatName val="0"/>
          <c:showSerName val="0"/>
          <c:showPercent val="0"/>
          <c:showBubbleSize val="0"/>
        </c:dLbls>
        <c:gapWidth val="25"/>
        <c:axId val="1273779551"/>
        <c:axId val="1273778591"/>
      </c:barChart>
      <c:catAx>
        <c:axId val="1273779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78591"/>
        <c:crosses val="autoZero"/>
        <c:auto val="1"/>
        <c:lblAlgn val="ctr"/>
        <c:lblOffset val="100"/>
        <c:noMultiLvlLbl val="0"/>
      </c:catAx>
      <c:valAx>
        <c:axId val="1273778591"/>
        <c:scaling>
          <c:orientation val="minMax"/>
        </c:scaling>
        <c:delete val="1"/>
        <c:axPos val="b"/>
        <c:numFmt formatCode="#,##0" sourceLinked="1"/>
        <c:majorTickMark val="none"/>
        <c:minorTickMark val="none"/>
        <c:tickLblPos val="nextTo"/>
        <c:crossAx val="127377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MIS report.xlsx]Pivot!Monthly trand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Call</a:t>
            </a:r>
            <a:r>
              <a:rPr lang="en-IN" sz="1800" baseline="0">
                <a:solidFill>
                  <a:schemeClr val="accent6"/>
                </a:solidFill>
                <a:latin typeface="+mj-lt"/>
              </a:rPr>
              <a:t> Trend</a:t>
            </a:r>
            <a:endParaRPr lang="en-IN" sz="1800">
              <a:solidFill>
                <a:schemeClr val="accent6"/>
              </a:solidFill>
              <a:latin typeface="+mj-lt"/>
            </a:endParaRPr>
          </a:p>
        </c:rich>
      </c:tx>
      <c:layout>
        <c:manualLayout>
          <c:xMode val="edge"/>
          <c:yMode val="edge"/>
          <c:x val="2.5992245337292785E-2"/>
          <c:y val="4.8372841603532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Pivot!$C$16</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Pivot!$C$17:$C$29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C45C-4AB7-AB74-DB267CAA7FE4}"/>
            </c:ext>
          </c:extLst>
        </c:ser>
        <c:dLbls>
          <c:showLegendKey val="0"/>
          <c:showVal val="0"/>
          <c:showCatName val="0"/>
          <c:showSerName val="0"/>
          <c:showPercent val="0"/>
          <c:showBubbleSize val="0"/>
        </c:dLbls>
        <c:axId val="418729919"/>
        <c:axId val="418728959"/>
      </c:areaChart>
      <c:lineChart>
        <c:grouping val="standard"/>
        <c:varyColors val="0"/>
        <c:ser>
          <c:idx val="0"/>
          <c:order val="0"/>
          <c:tx>
            <c:strRef>
              <c:f>Pivot!$B$16</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Pivot!$B$17:$B$29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C45C-4AB7-AB74-DB267CAA7FE4}"/>
            </c:ext>
          </c:extLst>
        </c:ser>
        <c:dLbls>
          <c:showLegendKey val="0"/>
          <c:showVal val="0"/>
          <c:showCatName val="0"/>
          <c:showSerName val="0"/>
          <c:showPercent val="0"/>
          <c:showBubbleSize val="0"/>
        </c:dLbls>
        <c:marker val="1"/>
        <c:smooth val="0"/>
        <c:axId val="418729919"/>
        <c:axId val="418728959"/>
      </c:lineChart>
      <c:catAx>
        <c:axId val="418729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8959"/>
        <c:crosses val="autoZero"/>
        <c:auto val="1"/>
        <c:lblAlgn val="ctr"/>
        <c:lblOffset val="100"/>
        <c:noMultiLvlLbl val="0"/>
      </c:catAx>
      <c:valAx>
        <c:axId val="418728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Calls</a:t>
            </a:r>
          </a:p>
        </c:rich>
      </c:tx>
      <c:layout>
        <c:manualLayout>
          <c:xMode val="edge"/>
          <c:yMode val="edge"/>
          <c:x val="4.0307330647218899E-2"/>
          <c:y val="2.9165809059830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Pivot!$K$6:$K$10</c:f>
              <c:strCache>
                <c:ptCount val="5"/>
                <c:pt idx="0">
                  <c:v>R01</c:v>
                </c:pt>
                <c:pt idx="1">
                  <c:v>R02</c:v>
                </c:pt>
                <c:pt idx="2">
                  <c:v>R03</c:v>
                </c:pt>
                <c:pt idx="3">
                  <c:v>R04</c:v>
                </c:pt>
                <c:pt idx="4">
                  <c:v>R05</c:v>
                </c:pt>
              </c:strCache>
            </c:strRef>
          </c:cat>
          <c:val>
            <c:numRef>
              <c:f>Pivot!$L$6:$L$10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CCA-4129-A1AC-758EF35F86EA}"/>
            </c:ext>
          </c:extLst>
        </c:ser>
        <c:ser>
          <c:idx val="1"/>
          <c:order val="1"/>
          <c:tx>
            <c:strRef>
              <c:f>Pivot!$N$5</c:f>
              <c:strCache>
                <c:ptCount val="1"/>
                <c:pt idx="0">
                  <c:v>Sel.Calls</c:v>
                </c:pt>
              </c:strCache>
            </c:strRef>
          </c:tx>
          <c:spPr>
            <a:gradFill flip="none" rotWithShape="1">
              <a:gsLst>
                <a:gs pos="0">
                  <a:schemeClr val="accent5">
                    <a:lumMod val="20000"/>
                    <a:lumOff val="80000"/>
                  </a:schemeClr>
                </a:gs>
                <a:gs pos="100000">
                  <a:schemeClr val="accent5"/>
                </a:gs>
              </a:gsLst>
              <a:lin ang="0" scaled="1"/>
              <a:tileRect/>
            </a:gradFill>
            <a:ln>
              <a:noFill/>
            </a:ln>
            <a:effectLst/>
          </c:spPr>
          <c:invertIfNegative val="0"/>
          <c:val>
            <c:numRef>
              <c:f>Pivot!$N$6:$N$10</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5CCA-4129-A1AC-758EF35F86EA}"/>
            </c:ext>
          </c:extLst>
        </c:ser>
        <c:dLbls>
          <c:showLegendKey val="0"/>
          <c:showVal val="0"/>
          <c:showCatName val="0"/>
          <c:showSerName val="0"/>
          <c:showPercent val="0"/>
          <c:showBubbleSize val="0"/>
        </c:dLbls>
        <c:gapWidth val="25"/>
        <c:overlap val="100"/>
        <c:axId val="1326731408"/>
        <c:axId val="1326737648"/>
      </c:barChart>
      <c:catAx>
        <c:axId val="1326731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37648"/>
        <c:crosses val="autoZero"/>
        <c:auto val="1"/>
        <c:lblAlgn val="ctr"/>
        <c:lblOffset val="100"/>
        <c:noMultiLvlLbl val="0"/>
      </c:catAx>
      <c:valAx>
        <c:axId val="1326737648"/>
        <c:scaling>
          <c:orientation val="minMax"/>
          <c:min val="0"/>
        </c:scaling>
        <c:delete val="1"/>
        <c:axPos val="b"/>
        <c:numFmt formatCode="General" sourceLinked="1"/>
        <c:majorTickMark val="out"/>
        <c:minorTickMark val="none"/>
        <c:tickLblPos val="nextTo"/>
        <c:crossAx val="132673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latin typeface="+mj-lt"/>
              </a:rPr>
              <a:t>Amount</a:t>
            </a:r>
          </a:p>
        </c:rich>
      </c:tx>
      <c:layout>
        <c:manualLayout>
          <c:xMode val="edge"/>
          <c:yMode val="edge"/>
          <c:x val="5.6705054290611706E-2"/>
          <c:y val="4.0209584905834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Pivot!$K$6:$K$10</c:f>
              <c:strCache>
                <c:ptCount val="5"/>
                <c:pt idx="0">
                  <c:v>R01</c:v>
                </c:pt>
                <c:pt idx="1">
                  <c:v>R02</c:v>
                </c:pt>
                <c:pt idx="2">
                  <c:v>R03</c:v>
                </c:pt>
                <c:pt idx="3">
                  <c:v>R04</c:v>
                </c:pt>
                <c:pt idx="4">
                  <c:v>R05</c:v>
                </c:pt>
              </c:strCache>
            </c:strRef>
          </c:cat>
          <c:val>
            <c:numRef>
              <c:f>Pivot!$M$6:$M$10</c:f>
              <c:numCache>
                <c:formatCode>_ [$₹-4009]\ * #,##0.00_ ;_ [$₹-4009]\ * \-#,##0.00_ ;_ [$₹-4009]\ * "-"??_ ;_ @_ </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2D7-406F-A656-74C403293B93}"/>
            </c:ext>
          </c:extLst>
        </c:ser>
        <c:ser>
          <c:idx val="1"/>
          <c:order val="1"/>
          <c:tx>
            <c:strRef>
              <c:f>Pivot!$O$5</c:f>
              <c:strCache>
                <c:ptCount val="1"/>
                <c:pt idx="0">
                  <c:v>Sel.Amount</c:v>
                </c:pt>
              </c:strCache>
            </c:strRef>
          </c:tx>
          <c:spPr>
            <a:gradFill>
              <a:gsLst>
                <a:gs pos="0">
                  <a:schemeClr val="accent6">
                    <a:lumMod val="20000"/>
                    <a:lumOff val="80000"/>
                  </a:schemeClr>
                </a:gs>
                <a:gs pos="100000">
                  <a:schemeClr val="accent6"/>
                </a:gs>
              </a:gsLst>
              <a:lin ang="0" scaled="1"/>
            </a:gradFill>
            <a:ln>
              <a:noFill/>
            </a:ln>
            <a:effectLst/>
          </c:spPr>
          <c:invertIfNegative val="0"/>
          <c:val>
            <c:numRef>
              <c:f>Pivot!$O$6:$O$10</c:f>
              <c:numCache>
                <c:formatCode>_ [$₹-4009]\ * #,##0.00_ ;_ [$₹-4009]\ * \-#,##0.00_ ;_ [$₹-4009]\ * "-"??_ ;_ @_ </c:formatCode>
                <c:ptCount val="5"/>
                <c:pt idx="0">
                  <c:v>18415</c:v>
                </c:pt>
                <c:pt idx="1">
                  <c:v>#N/A</c:v>
                </c:pt>
                <c:pt idx="2">
                  <c:v>#N/A</c:v>
                </c:pt>
                <c:pt idx="3">
                  <c:v>#N/A</c:v>
                </c:pt>
                <c:pt idx="4">
                  <c:v>#N/A</c:v>
                </c:pt>
              </c:numCache>
            </c:numRef>
          </c:val>
          <c:extLst>
            <c:ext xmlns:c16="http://schemas.microsoft.com/office/drawing/2014/chart" uri="{C3380CC4-5D6E-409C-BE32-E72D297353CC}">
              <c16:uniqueId val="{00000001-F2D7-406F-A656-74C403293B93}"/>
            </c:ext>
          </c:extLst>
        </c:ser>
        <c:dLbls>
          <c:showLegendKey val="0"/>
          <c:showVal val="0"/>
          <c:showCatName val="0"/>
          <c:showSerName val="0"/>
          <c:showPercent val="0"/>
          <c:showBubbleSize val="0"/>
        </c:dLbls>
        <c:gapWidth val="26"/>
        <c:overlap val="100"/>
        <c:axId val="1912119360"/>
        <c:axId val="1912118400"/>
      </c:barChart>
      <c:catAx>
        <c:axId val="1912119360"/>
        <c:scaling>
          <c:orientation val="minMax"/>
        </c:scaling>
        <c:delete val="1"/>
        <c:axPos val="l"/>
        <c:numFmt formatCode="General" sourceLinked="1"/>
        <c:majorTickMark val="out"/>
        <c:minorTickMark val="none"/>
        <c:tickLblPos val="nextTo"/>
        <c:crossAx val="1912118400"/>
        <c:crosses val="autoZero"/>
        <c:auto val="1"/>
        <c:lblAlgn val="ctr"/>
        <c:lblOffset val="100"/>
        <c:noMultiLvlLbl val="0"/>
      </c:catAx>
      <c:valAx>
        <c:axId val="1912118400"/>
        <c:scaling>
          <c:orientation val="minMax"/>
        </c:scaling>
        <c:delete val="1"/>
        <c:axPos val="b"/>
        <c:numFmt formatCode="_ [$₹-4009]\ * #,##0.00_ ;_ [$₹-4009]\ * \-#,##0.00_ ;_ [$₹-4009]\ * &quot;-&quot;??_ ;_ @_ " sourceLinked="1"/>
        <c:majorTickMark val="out"/>
        <c:minorTickMark val="none"/>
        <c:tickLblPos val="nextTo"/>
        <c:crossAx val="191211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MIS report.xlsx]Pivot!PivotTable3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lumMod val="60000"/>
                    <a:lumOff val="40000"/>
                  </a:schemeClr>
                </a:solidFill>
                <a:latin typeface="+mj-lt"/>
              </a:rPr>
              <a:t>Female</a:t>
            </a:r>
            <a:r>
              <a:rPr lang="en-IN">
                <a:solidFill>
                  <a:schemeClr val="accent5"/>
                </a:solidFill>
                <a:latin typeface="+mj-lt"/>
              </a:rPr>
              <a:t> vs</a:t>
            </a:r>
            <a:r>
              <a:rPr lang="en-IN">
                <a:solidFill>
                  <a:schemeClr val="accent2">
                    <a:lumMod val="60000"/>
                    <a:lumOff val="40000"/>
                  </a:schemeClr>
                </a:solidFill>
                <a:latin typeface="+mj-lt"/>
              </a:rPr>
              <a:t>. Male </a:t>
            </a:r>
            <a:r>
              <a:rPr lang="en-IN">
                <a:solidFill>
                  <a:schemeClr val="accent5"/>
                </a:solidFill>
                <a:latin typeface="+mj-lt"/>
              </a:rPr>
              <a:t>Calls</a:t>
            </a:r>
          </a:p>
        </c:rich>
      </c:tx>
      <c:layout>
        <c:manualLayout>
          <c:xMode val="edge"/>
          <c:yMode val="edge"/>
          <c:x val="9.7562391891092115E-2"/>
          <c:y val="3.4110285574840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
        <c:spPr>
          <a:solidFill>
            <a:schemeClr val="accent2">
              <a:lumMod val="60000"/>
              <a:lumOff val="40000"/>
            </a:schemeClr>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barChart>
        <c:barDir val="col"/>
        <c:grouping val="percentStacked"/>
        <c:varyColors val="0"/>
        <c:ser>
          <c:idx val="0"/>
          <c:order val="0"/>
          <c:tx>
            <c:strRef>
              <c:f>Pivot!$F$16:$F$17</c:f>
              <c:strCache>
                <c:ptCount val="1"/>
                <c:pt idx="0">
                  <c:v>Female</c:v>
                </c:pt>
              </c:strCache>
            </c:strRef>
          </c:tx>
          <c:spPr>
            <a:solidFill>
              <a:schemeClr val="accent6">
                <a:lumMod val="60000"/>
                <a:lumOff val="40000"/>
              </a:schemeClr>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Pivot!$E$18:$E$21</c:f>
              <c:strCache>
                <c:ptCount val="3"/>
                <c:pt idx="0">
                  <c:v>Cincinnati</c:v>
                </c:pt>
                <c:pt idx="1">
                  <c:v>Cleveland</c:v>
                </c:pt>
                <c:pt idx="2">
                  <c:v>Columbus</c:v>
                </c:pt>
              </c:strCache>
            </c:strRef>
          </c:cat>
          <c:val>
            <c:numRef>
              <c:f>Pivot!$F$18:$F$21</c:f>
              <c:numCache>
                <c:formatCode>#,##0</c:formatCode>
                <c:ptCount val="3"/>
                <c:pt idx="0">
                  <c:v>144</c:v>
                </c:pt>
                <c:pt idx="1">
                  <c:v>326</c:v>
                </c:pt>
                <c:pt idx="2">
                  <c:v>129</c:v>
                </c:pt>
              </c:numCache>
            </c:numRef>
          </c:val>
          <c:extLst>
            <c:ext xmlns:c16="http://schemas.microsoft.com/office/drawing/2014/chart" uri="{C3380CC4-5D6E-409C-BE32-E72D297353CC}">
              <c16:uniqueId val="{00000000-BC3B-4479-836A-3945AC2181CA}"/>
            </c:ext>
          </c:extLst>
        </c:ser>
        <c:ser>
          <c:idx val="1"/>
          <c:order val="1"/>
          <c:tx>
            <c:strRef>
              <c:f>Pivot!$G$16:$G$17</c:f>
              <c:strCache>
                <c:ptCount val="1"/>
                <c:pt idx="0">
                  <c:v>Male</c:v>
                </c:pt>
              </c:strCache>
            </c:strRef>
          </c:tx>
          <c:spPr>
            <a:solidFill>
              <a:schemeClr val="accent2">
                <a:lumMod val="60000"/>
                <a:lumOff val="40000"/>
              </a:schemeClr>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Pivot!$E$18:$E$21</c:f>
              <c:strCache>
                <c:ptCount val="3"/>
                <c:pt idx="0">
                  <c:v>Cincinnati</c:v>
                </c:pt>
                <c:pt idx="1">
                  <c:v>Cleveland</c:v>
                </c:pt>
                <c:pt idx="2">
                  <c:v>Columbus</c:v>
                </c:pt>
              </c:strCache>
            </c:strRef>
          </c:cat>
          <c:val>
            <c:numRef>
              <c:f>Pivot!$G$18:$G$21</c:f>
              <c:numCache>
                <c:formatCode>#,##0</c:formatCode>
                <c:ptCount val="3"/>
                <c:pt idx="0">
                  <c:v>132</c:v>
                </c:pt>
                <c:pt idx="1">
                  <c:v>63</c:v>
                </c:pt>
                <c:pt idx="2">
                  <c:v>206</c:v>
                </c:pt>
              </c:numCache>
            </c:numRef>
          </c:val>
          <c:extLst>
            <c:ext xmlns:c16="http://schemas.microsoft.com/office/drawing/2014/chart" uri="{C3380CC4-5D6E-409C-BE32-E72D297353CC}">
              <c16:uniqueId val="{00000001-BC3B-4479-836A-3945AC2181CA}"/>
            </c:ext>
          </c:extLst>
        </c:ser>
        <c:dLbls>
          <c:showLegendKey val="0"/>
          <c:showVal val="0"/>
          <c:showCatName val="0"/>
          <c:showSerName val="0"/>
          <c:showPercent val="0"/>
          <c:showBubbleSize val="0"/>
        </c:dLbls>
        <c:gapWidth val="25"/>
        <c:overlap val="100"/>
        <c:axId val="1977521824"/>
        <c:axId val="1977510304"/>
      </c:barChart>
      <c:catAx>
        <c:axId val="19775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10304"/>
        <c:crosses val="autoZero"/>
        <c:auto val="1"/>
        <c:lblAlgn val="ctr"/>
        <c:lblOffset val="100"/>
        <c:noMultiLvlLbl val="0"/>
      </c:catAx>
      <c:valAx>
        <c:axId val="1977510304"/>
        <c:scaling>
          <c:orientation val="minMax"/>
        </c:scaling>
        <c:delete val="1"/>
        <c:axPos val="l"/>
        <c:numFmt formatCode="0%" sourceLinked="1"/>
        <c:majorTickMark val="none"/>
        <c:minorTickMark val="none"/>
        <c:tickLblPos val="nextTo"/>
        <c:crossAx val="19775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extLst>
        <a:ext uri="{C807C97D-BFC1-408E-A445-0C87EB9F89A2}">
          <ask:lineSketchStyleProps xmlns:ask="http://schemas.microsoft.com/office/drawing/2018/sketchyshapes">
            <ask:type>
              <ask:lineSketchNone/>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MIS report.xlsx]Pivot!Rep Satisfation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Pivot!$K$14</c:f>
              <c:strCache>
                <c:ptCount val="1"/>
                <c:pt idx="0">
                  <c:v>Total</c:v>
                </c:pt>
              </c:strCache>
            </c:strRef>
          </c:tx>
          <c:spPr>
            <a:solidFill>
              <a:schemeClr val="accent5"/>
            </a:solidFill>
            <a:ln>
              <a:noFill/>
            </a:ln>
            <a:effectLst/>
          </c:spPr>
          <c:invertIfNegative val="0"/>
          <c:cat>
            <c:strRef>
              <c:f>Pivot!$J$15:$J$20</c:f>
              <c:strCache>
                <c:ptCount val="5"/>
                <c:pt idx="0">
                  <c:v>1</c:v>
                </c:pt>
                <c:pt idx="1">
                  <c:v>2</c:v>
                </c:pt>
                <c:pt idx="2">
                  <c:v>3</c:v>
                </c:pt>
                <c:pt idx="3">
                  <c:v>4</c:v>
                </c:pt>
                <c:pt idx="4">
                  <c:v>5</c:v>
                </c:pt>
              </c:strCache>
            </c:strRef>
          </c:cat>
          <c:val>
            <c:numRef>
              <c:f>Pivot!$K$15:$K$20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E03E-4021-BAE4-648311CDA671}"/>
            </c:ext>
          </c:extLst>
        </c:ser>
        <c:dLbls>
          <c:showLegendKey val="0"/>
          <c:showVal val="0"/>
          <c:showCatName val="0"/>
          <c:showSerName val="0"/>
          <c:showPercent val="0"/>
          <c:showBubbleSize val="0"/>
        </c:dLbls>
        <c:gapWidth val="10"/>
        <c:overlap val="-27"/>
        <c:axId val="1912140960"/>
        <c:axId val="1912141440"/>
      </c:barChart>
      <c:catAx>
        <c:axId val="1912140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41440"/>
        <c:crosses val="autoZero"/>
        <c:auto val="1"/>
        <c:lblAlgn val="ctr"/>
        <c:lblOffset val="100"/>
        <c:noMultiLvlLbl val="0"/>
      </c:catAx>
      <c:valAx>
        <c:axId val="1912141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4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svg"/></Relationships>
</file>

<file path=xl/drawings/drawing1.xml><?xml version="1.0" encoding="utf-8"?>
<xdr:wsDr xmlns:xdr="http://schemas.openxmlformats.org/drawingml/2006/spreadsheetDrawing" xmlns:a="http://schemas.openxmlformats.org/drawingml/2006/main">
  <xdr:twoCellAnchor editAs="oneCell">
    <xdr:from>
      <xdr:col>13</xdr:col>
      <xdr:colOff>304164</xdr:colOff>
      <xdr:row>18</xdr:row>
      <xdr:rowOff>0</xdr:rowOff>
    </xdr:from>
    <xdr:to>
      <xdr:col>14</xdr:col>
      <xdr:colOff>744643</xdr:colOff>
      <xdr:row>26</xdr:row>
      <xdr:rowOff>168487</xdr:rowOff>
    </xdr:to>
    <mc:AlternateContent xmlns:mc="http://schemas.openxmlformats.org/markup-compatibility/2006" xmlns:a14="http://schemas.microsoft.com/office/drawing/2010/main">
      <mc:Choice Requires="a14">
        <xdr:graphicFrame macro="">
          <xdr:nvGraphicFramePr>
            <xdr:cNvPr id="35" name="Representative">
              <a:extLst>
                <a:ext uri="{FF2B5EF4-FFF2-40B4-BE49-F238E27FC236}">
                  <a16:creationId xmlns:a16="http://schemas.microsoft.com/office/drawing/2014/main" id="{59392F0C-A816-4558-B84E-2E2A0DC6915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315747" y="3238500"/>
              <a:ext cx="1103419" cy="1770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74085</xdr:colOff>
      <xdr:row>1</xdr:row>
      <xdr:rowOff>160655</xdr:rowOff>
    </xdr:from>
    <xdr:to>
      <xdr:col>13</xdr:col>
      <xdr:colOff>1</xdr:colOff>
      <xdr:row>16</xdr:row>
      <xdr:rowOff>44238</xdr:rowOff>
    </xdr:to>
    <xdr:sp macro="" textlink="">
      <xdr:nvSpPr>
        <xdr:cNvPr id="10" name="Rectangle 9">
          <a:extLst>
            <a:ext uri="{FF2B5EF4-FFF2-40B4-BE49-F238E27FC236}">
              <a16:creationId xmlns:a16="http://schemas.microsoft.com/office/drawing/2014/main" id="{8A5F06FA-32BA-326B-8A42-015128A1EE0A}"/>
            </a:ext>
          </a:extLst>
        </xdr:cNvPr>
        <xdr:cNvSpPr/>
      </xdr:nvSpPr>
      <xdr:spPr>
        <a:xfrm>
          <a:off x="2084918" y="340572"/>
          <a:ext cx="5926666" cy="2582333"/>
        </a:xfrm>
        <a:prstGeom prst="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94404</xdr:colOff>
      <xdr:row>17</xdr:row>
      <xdr:rowOff>174201</xdr:rowOff>
    </xdr:from>
    <xdr:to>
      <xdr:col>13</xdr:col>
      <xdr:colOff>264584</xdr:colOff>
      <xdr:row>37</xdr:row>
      <xdr:rowOff>0</xdr:rowOff>
    </xdr:to>
    <xdr:sp macro="" textlink="">
      <xdr:nvSpPr>
        <xdr:cNvPr id="9" name="Rectangle 8">
          <a:extLst>
            <a:ext uri="{FF2B5EF4-FFF2-40B4-BE49-F238E27FC236}">
              <a16:creationId xmlns:a16="http://schemas.microsoft.com/office/drawing/2014/main" id="{10040684-A12F-2395-42D4-60AFAD5F7B6A}"/>
            </a:ext>
          </a:extLst>
        </xdr:cNvPr>
        <xdr:cNvSpPr/>
      </xdr:nvSpPr>
      <xdr:spPr>
        <a:xfrm>
          <a:off x="2105237" y="3232784"/>
          <a:ext cx="6170930" cy="3635799"/>
        </a:xfrm>
        <a:prstGeom prst="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xdr:row>
      <xdr:rowOff>114300</xdr:rowOff>
    </xdr:from>
    <xdr:to>
      <xdr:col>3</xdr:col>
      <xdr:colOff>609600</xdr:colOff>
      <xdr:row>7</xdr:row>
      <xdr:rowOff>0</xdr:rowOff>
    </xdr:to>
    <xdr:sp macro="" textlink="Pivot!A6">
      <xdr:nvSpPr>
        <xdr:cNvPr id="2" name="Rectangle 1">
          <a:extLst>
            <a:ext uri="{FF2B5EF4-FFF2-40B4-BE49-F238E27FC236}">
              <a16:creationId xmlns:a16="http://schemas.microsoft.com/office/drawing/2014/main" id="{C917C72D-AA9D-8E0D-358F-A0558CF5A3A4}"/>
            </a:ext>
          </a:extLst>
        </xdr:cNvPr>
        <xdr:cNvSpPr/>
      </xdr:nvSpPr>
      <xdr:spPr>
        <a:xfrm>
          <a:off x="338667" y="294217"/>
          <a:ext cx="1615016" cy="96520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C44E32-6833-44AD-9CCD-4635AAF8EFFD}"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twoCellAnchor>
    <xdr:from>
      <xdr:col>1</xdr:col>
      <xdr:colOff>266700</xdr:colOff>
      <xdr:row>2</xdr:row>
      <xdr:rowOff>53340</xdr:rowOff>
    </xdr:from>
    <xdr:to>
      <xdr:col>3</xdr:col>
      <xdr:colOff>438150</xdr:colOff>
      <xdr:row>3</xdr:row>
      <xdr:rowOff>114299</xdr:rowOff>
    </xdr:to>
    <xdr:sp macro="" textlink="">
      <xdr:nvSpPr>
        <xdr:cNvPr id="3" name="TextBox 2">
          <a:extLst>
            <a:ext uri="{FF2B5EF4-FFF2-40B4-BE49-F238E27FC236}">
              <a16:creationId xmlns:a16="http://schemas.microsoft.com/office/drawing/2014/main" id="{9DA75538-4102-DF28-BA25-50CE10ECD549}"/>
            </a:ext>
          </a:extLst>
        </xdr:cNvPr>
        <xdr:cNvSpPr txBox="1"/>
      </xdr:nvSpPr>
      <xdr:spPr>
        <a:xfrm>
          <a:off x="609600" y="415290"/>
          <a:ext cx="1181100" cy="241934"/>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mj-lt"/>
            </a:rPr>
            <a:t>Calls</a:t>
          </a:r>
        </a:p>
      </xdr:txBody>
    </xdr:sp>
    <xdr:clientData/>
  </xdr:twoCellAnchor>
  <xdr:twoCellAnchor editAs="oneCell">
    <xdr:from>
      <xdr:col>1</xdr:col>
      <xdr:colOff>75069</xdr:colOff>
      <xdr:row>2</xdr:row>
      <xdr:rowOff>22108</xdr:rowOff>
    </xdr:from>
    <xdr:to>
      <xdr:col>1</xdr:col>
      <xdr:colOff>322126</xdr:colOff>
      <xdr:row>3</xdr:row>
      <xdr:rowOff>95275</xdr:rowOff>
    </xdr:to>
    <xdr:pic>
      <xdr:nvPicPr>
        <xdr:cNvPr id="4" name="Graphic 3" descr="Receiver with solid fill">
          <a:extLst>
            <a:ext uri="{FF2B5EF4-FFF2-40B4-BE49-F238E27FC236}">
              <a16:creationId xmlns:a16="http://schemas.microsoft.com/office/drawing/2014/main" id="{78C34D9D-9765-45A9-8512-B7F45A1F67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585802">
          <a:off x="417969" y="384058"/>
          <a:ext cx="247057" cy="254142"/>
        </a:xfrm>
        <a:prstGeom prst="rect">
          <a:avLst/>
        </a:prstGeom>
      </xdr:spPr>
    </xdr:pic>
    <xdr:clientData/>
  </xdr:twoCellAnchor>
  <xdr:twoCellAnchor>
    <xdr:from>
      <xdr:col>2</xdr:col>
      <xdr:colOff>42333</xdr:colOff>
      <xdr:row>5</xdr:row>
      <xdr:rowOff>32670</xdr:rowOff>
    </xdr:from>
    <xdr:to>
      <xdr:col>3</xdr:col>
      <xdr:colOff>194733</xdr:colOff>
      <xdr:row>6</xdr:row>
      <xdr:rowOff>52566</xdr:rowOff>
    </xdr:to>
    <xdr:sp macro="" textlink="Pivot!A12">
      <xdr:nvSpPr>
        <xdr:cNvPr id="5" name="TextBox 4">
          <a:extLst>
            <a:ext uri="{FF2B5EF4-FFF2-40B4-BE49-F238E27FC236}">
              <a16:creationId xmlns:a16="http://schemas.microsoft.com/office/drawing/2014/main" id="{C70D3581-D296-1F5E-18E1-9528C3AE0C91}"/>
            </a:ext>
          </a:extLst>
        </xdr:cNvPr>
        <xdr:cNvSpPr txBox="1"/>
      </xdr:nvSpPr>
      <xdr:spPr>
        <a:xfrm>
          <a:off x="727029" y="971366"/>
          <a:ext cx="826052" cy="20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6CA2FA-3CD9-4B14-AE0A-6D3999032187}" type="TxLink">
            <a:rPr lang="en-US" sz="1100" b="0" i="0" u="none" strike="noStrike">
              <a:solidFill>
                <a:schemeClr val="accent6">
                  <a:lumMod val="20000"/>
                  <a:lumOff val="80000"/>
                </a:schemeClr>
              </a:solidFill>
              <a:latin typeface="+mj-lt"/>
            </a:rPr>
            <a:pPr algn="ctr"/>
            <a:t>189</a:t>
          </a:fld>
          <a:endParaRPr lang="en-IN" sz="1100">
            <a:solidFill>
              <a:schemeClr val="accent6">
                <a:lumMod val="20000"/>
                <a:lumOff val="80000"/>
              </a:schemeClr>
            </a:solidFill>
            <a:latin typeface="+mj-lt"/>
          </a:endParaRPr>
        </a:p>
      </xdr:txBody>
    </xdr:sp>
    <xdr:clientData/>
  </xdr:twoCellAnchor>
  <xdr:twoCellAnchor>
    <xdr:from>
      <xdr:col>1</xdr:col>
      <xdr:colOff>0</xdr:colOff>
      <xdr:row>7</xdr:row>
      <xdr:rowOff>124673</xdr:rowOff>
    </xdr:from>
    <xdr:to>
      <xdr:col>3</xdr:col>
      <xdr:colOff>609600</xdr:colOff>
      <xdr:row>14</xdr:row>
      <xdr:rowOff>1</xdr:rowOff>
    </xdr:to>
    <xdr:sp macro="" textlink="Pivot!B6">
      <xdr:nvSpPr>
        <xdr:cNvPr id="15" name="Rectangle 14">
          <a:extLst>
            <a:ext uri="{FF2B5EF4-FFF2-40B4-BE49-F238E27FC236}">
              <a16:creationId xmlns:a16="http://schemas.microsoft.com/office/drawing/2014/main" id="{0921220C-EDEB-4BA3-B901-45C964CBE19D}"/>
            </a:ext>
          </a:extLst>
        </xdr:cNvPr>
        <xdr:cNvSpPr/>
      </xdr:nvSpPr>
      <xdr:spPr>
        <a:xfrm>
          <a:off x="338667" y="1384090"/>
          <a:ext cx="1615016" cy="1134744"/>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9AE772F-DE08-43E8-9B6F-1D1DFC4E2515}" type="TxLink">
            <a:rPr lang="en-US" sz="2000" b="0" i="0" u="none" strike="noStrike">
              <a:solidFill>
                <a:schemeClr val="bg1"/>
              </a:solidFill>
              <a:latin typeface="+mj-lt"/>
              <a:ea typeface="+mn-ea"/>
              <a:cs typeface="+mn-cs"/>
            </a:rPr>
            <a:pPr marL="0" indent="0" algn="ctr"/>
            <a:t>₹ 96,623</a:t>
          </a:fld>
          <a:endParaRPr lang="en-IN" sz="2000" b="0" i="0" u="none" strike="noStrike">
            <a:solidFill>
              <a:schemeClr val="bg1"/>
            </a:solidFill>
            <a:latin typeface="+mj-lt"/>
            <a:ea typeface="+mn-ea"/>
            <a:cs typeface="+mn-cs"/>
          </a:endParaRPr>
        </a:p>
      </xdr:txBody>
    </xdr:sp>
    <xdr:clientData/>
  </xdr:twoCellAnchor>
  <xdr:twoCellAnchor>
    <xdr:from>
      <xdr:col>1</xdr:col>
      <xdr:colOff>266700</xdr:colOff>
      <xdr:row>8</xdr:row>
      <xdr:rowOff>68581</xdr:rowOff>
    </xdr:from>
    <xdr:to>
      <xdr:col>3</xdr:col>
      <xdr:colOff>438150</xdr:colOff>
      <xdr:row>9</xdr:row>
      <xdr:rowOff>121919</xdr:rowOff>
    </xdr:to>
    <xdr:sp macro="" textlink="">
      <xdr:nvSpPr>
        <xdr:cNvPr id="16" name="TextBox 15">
          <a:extLst>
            <a:ext uri="{FF2B5EF4-FFF2-40B4-BE49-F238E27FC236}">
              <a16:creationId xmlns:a16="http://schemas.microsoft.com/office/drawing/2014/main" id="{CEC27D18-3897-4A37-B05F-C8B9B1B9D5FF}"/>
            </a:ext>
          </a:extLst>
        </xdr:cNvPr>
        <xdr:cNvSpPr txBox="1"/>
      </xdr:nvSpPr>
      <xdr:spPr>
        <a:xfrm>
          <a:off x="605367" y="1507914"/>
          <a:ext cx="1176866" cy="23325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mj-lt"/>
            </a:rPr>
            <a:t>Amount</a:t>
          </a:r>
        </a:p>
      </xdr:txBody>
    </xdr:sp>
    <xdr:clientData/>
  </xdr:twoCellAnchor>
  <xdr:twoCellAnchor>
    <xdr:from>
      <xdr:col>2</xdr:col>
      <xdr:colOff>91440</xdr:colOff>
      <xdr:row>11</xdr:row>
      <xdr:rowOff>176108</xdr:rowOff>
    </xdr:from>
    <xdr:to>
      <xdr:col>3</xdr:col>
      <xdr:colOff>243840</xdr:colOff>
      <xdr:row>13</xdr:row>
      <xdr:rowOff>20955</xdr:rowOff>
    </xdr:to>
    <xdr:sp macro="" textlink="Pivot!B12">
      <xdr:nvSpPr>
        <xdr:cNvPr id="18" name="TextBox 17">
          <a:extLst>
            <a:ext uri="{FF2B5EF4-FFF2-40B4-BE49-F238E27FC236}">
              <a16:creationId xmlns:a16="http://schemas.microsoft.com/office/drawing/2014/main" id="{9CACF42D-D5A2-4C1A-A386-5982A0271CC9}"/>
            </a:ext>
          </a:extLst>
        </xdr:cNvPr>
        <xdr:cNvSpPr txBox="1"/>
      </xdr:nvSpPr>
      <xdr:spPr>
        <a:xfrm>
          <a:off x="768773" y="2155191"/>
          <a:ext cx="819150" cy="204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7CA6E6-BD35-46CE-8305-758B0F00215C}" type="TxLink">
            <a:rPr lang="en-US" sz="1100" b="0" i="0" u="none" strike="noStrike">
              <a:solidFill>
                <a:schemeClr val="accent6">
                  <a:lumMod val="20000"/>
                  <a:lumOff val="80000"/>
                </a:schemeClr>
              </a:solidFill>
              <a:latin typeface="+mj-lt"/>
              <a:ea typeface="+mn-ea"/>
              <a:cs typeface="+mn-cs"/>
            </a:rPr>
            <a:pPr marL="0" indent="0" algn="ctr"/>
            <a:t>₹ 18,415</a:t>
          </a:fld>
          <a:endParaRPr lang="en-IN" sz="1100" b="0" i="0" u="none" strike="noStrike">
            <a:solidFill>
              <a:schemeClr val="accent6">
                <a:lumMod val="20000"/>
                <a:lumOff val="80000"/>
              </a:schemeClr>
            </a:solidFill>
            <a:latin typeface="+mj-lt"/>
            <a:ea typeface="+mn-ea"/>
            <a:cs typeface="+mn-cs"/>
          </a:endParaRPr>
        </a:p>
      </xdr:txBody>
    </xdr:sp>
    <xdr:clientData/>
  </xdr:twoCellAnchor>
  <xdr:twoCellAnchor>
    <xdr:from>
      <xdr:col>1</xdr:col>
      <xdr:colOff>0</xdr:colOff>
      <xdr:row>14</xdr:row>
      <xdr:rowOff>124672</xdr:rowOff>
    </xdr:from>
    <xdr:to>
      <xdr:col>3</xdr:col>
      <xdr:colOff>609600</xdr:colOff>
      <xdr:row>21</xdr:row>
      <xdr:rowOff>0</xdr:rowOff>
    </xdr:to>
    <xdr:sp macro="" textlink="Pivot!C6">
      <xdr:nvSpPr>
        <xdr:cNvPr id="19" name="Rectangle 18">
          <a:extLst>
            <a:ext uri="{FF2B5EF4-FFF2-40B4-BE49-F238E27FC236}">
              <a16:creationId xmlns:a16="http://schemas.microsoft.com/office/drawing/2014/main" id="{0E46666D-BD8E-404D-A721-3EE0CBB064B6}"/>
            </a:ext>
          </a:extLst>
        </xdr:cNvPr>
        <xdr:cNvSpPr/>
      </xdr:nvSpPr>
      <xdr:spPr>
        <a:xfrm>
          <a:off x="338667" y="2643505"/>
          <a:ext cx="1615016" cy="1240578"/>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3669ECA-0557-4963-9D41-2D80FAFD4B2D}"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1</xdr:col>
      <xdr:colOff>275166</xdr:colOff>
      <xdr:row>15</xdr:row>
      <xdr:rowOff>148167</xdr:rowOff>
    </xdr:from>
    <xdr:to>
      <xdr:col>3</xdr:col>
      <xdr:colOff>442806</xdr:colOff>
      <xdr:row>17</xdr:row>
      <xdr:rowOff>72601</xdr:rowOff>
    </xdr:to>
    <xdr:sp macro="" textlink="">
      <xdr:nvSpPr>
        <xdr:cNvPr id="20" name="TextBox 19">
          <a:extLst>
            <a:ext uri="{FF2B5EF4-FFF2-40B4-BE49-F238E27FC236}">
              <a16:creationId xmlns:a16="http://schemas.microsoft.com/office/drawing/2014/main" id="{3ECC2497-8AB2-4C7E-9D9D-5327EDFD8CE5}"/>
            </a:ext>
          </a:extLst>
        </xdr:cNvPr>
        <xdr:cNvSpPr txBox="1"/>
      </xdr:nvSpPr>
      <xdr:spPr>
        <a:xfrm>
          <a:off x="613833" y="2846917"/>
          <a:ext cx="1173056" cy="284267"/>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mj-lt"/>
            </a:rPr>
            <a:t>Duration</a:t>
          </a:r>
        </a:p>
      </xdr:txBody>
    </xdr:sp>
    <xdr:clientData/>
  </xdr:twoCellAnchor>
  <xdr:twoCellAnchor>
    <xdr:from>
      <xdr:col>2</xdr:col>
      <xdr:colOff>3092</xdr:colOff>
      <xdr:row>18</xdr:row>
      <xdr:rowOff>217981</xdr:rowOff>
    </xdr:from>
    <xdr:to>
      <xdr:col>3</xdr:col>
      <xdr:colOff>155492</xdr:colOff>
      <xdr:row>19</xdr:row>
      <xdr:rowOff>197652</xdr:rowOff>
    </xdr:to>
    <xdr:sp macro="" textlink="Pivot!C12">
      <xdr:nvSpPr>
        <xdr:cNvPr id="22" name="TextBox 21">
          <a:extLst>
            <a:ext uri="{FF2B5EF4-FFF2-40B4-BE49-F238E27FC236}">
              <a16:creationId xmlns:a16="http://schemas.microsoft.com/office/drawing/2014/main" id="{6275A06D-A4D2-4FAC-B524-EEE1A9EA7C74}"/>
            </a:ext>
          </a:extLst>
        </xdr:cNvPr>
        <xdr:cNvSpPr txBox="1"/>
      </xdr:nvSpPr>
      <xdr:spPr>
        <a:xfrm>
          <a:off x="687788" y="3597285"/>
          <a:ext cx="826052" cy="21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5FD56C-E722-4C53-BB54-6D07A866F554}" type="TxLink">
            <a:rPr lang="en-US" sz="1100" b="0" i="0" u="none" strike="noStrike">
              <a:solidFill>
                <a:schemeClr val="accent6">
                  <a:lumMod val="20000"/>
                  <a:lumOff val="80000"/>
                </a:schemeClr>
              </a:solidFill>
              <a:latin typeface="+mj-lt"/>
              <a:ea typeface="+mn-ea"/>
              <a:cs typeface="+mn-cs"/>
            </a:rPr>
            <a:pPr marL="0" indent="0" algn="ctr"/>
            <a:t>16,834</a:t>
          </a:fld>
          <a:endParaRPr lang="en-IN" sz="1100" b="0" i="0" u="none" strike="noStrike">
            <a:solidFill>
              <a:schemeClr val="accent6">
                <a:lumMod val="20000"/>
                <a:lumOff val="80000"/>
              </a:schemeClr>
            </a:solidFill>
            <a:latin typeface="+mj-lt"/>
            <a:ea typeface="+mn-ea"/>
            <a:cs typeface="+mn-cs"/>
          </a:endParaRPr>
        </a:p>
      </xdr:txBody>
    </xdr:sp>
    <xdr:clientData/>
  </xdr:twoCellAnchor>
  <xdr:twoCellAnchor>
    <xdr:from>
      <xdr:col>1</xdr:col>
      <xdr:colOff>0</xdr:colOff>
      <xdr:row>21</xdr:row>
      <xdr:rowOff>105833</xdr:rowOff>
    </xdr:from>
    <xdr:to>
      <xdr:col>3</xdr:col>
      <xdr:colOff>609600</xdr:colOff>
      <xdr:row>27</xdr:row>
      <xdr:rowOff>170603</xdr:rowOff>
    </xdr:to>
    <xdr:sp macro="" textlink="Pivot!D6">
      <xdr:nvSpPr>
        <xdr:cNvPr id="23" name="Rectangle 22">
          <a:extLst>
            <a:ext uri="{FF2B5EF4-FFF2-40B4-BE49-F238E27FC236}">
              <a16:creationId xmlns:a16="http://schemas.microsoft.com/office/drawing/2014/main" id="{F87B4BD8-1744-442E-A1D8-F2B0E671B321}"/>
            </a:ext>
          </a:extLst>
        </xdr:cNvPr>
        <xdr:cNvSpPr/>
      </xdr:nvSpPr>
      <xdr:spPr>
        <a:xfrm>
          <a:off x="338667" y="3989916"/>
          <a:ext cx="1615016" cy="1197187"/>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85BA1FA-4C2B-496D-AE20-F13368A78078}"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1</xdr:col>
      <xdr:colOff>266276</xdr:colOff>
      <xdr:row>22</xdr:row>
      <xdr:rowOff>126577</xdr:rowOff>
    </xdr:from>
    <xdr:to>
      <xdr:col>3</xdr:col>
      <xdr:colOff>433916</xdr:colOff>
      <xdr:row>24</xdr:row>
      <xdr:rowOff>0</xdr:rowOff>
    </xdr:to>
    <xdr:sp macro="" textlink="">
      <xdr:nvSpPr>
        <xdr:cNvPr id="24" name="TextBox 23">
          <a:extLst>
            <a:ext uri="{FF2B5EF4-FFF2-40B4-BE49-F238E27FC236}">
              <a16:creationId xmlns:a16="http://schemas.microsoft.com/office/drawing/2014/main" id="{14576227-39AD-4A71-A547-04251372B939}"/>
            </a:ext>
          </a:extLst>
        </xdr:cNvPr>
        <xdr:cNvSpPr txBox="1"/>
      </xdr:nvSpPr>
      <xdr:spPr>
        <a:xfrm>
          <a:off x="604943" y="4190577"/>
          <a:ext cx="1173056" cy="23325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mj-lt"/>
            </a:rPr>
            <a:t>Avg. Rating</a:t>
          </a:r>
        </a:p>
      </xdr:txBody>
    </xdr:sp>
    <xdr:clientData/>
  </xdr:twoCellAnchor>
  <xdr:twoCellAnchor>
    <xdr:from>
      <xdr:col>2</xdr:col>
      <xdr:colOff>11044</xdr:colOff>
      <xdr:row>25</xdr:row>
      <xdr:rowOff>99935</xdr:rowOff>
    </xdr:from>
    <xdr:to>
      <xdr:col>3</xdr:col>
      <xdr:colOff>163444</xdr:colOff>
      <xdr:row>26</xdr:row>
      <xdr:rowOff>132522</xdr:rowOff>
    </xdr:to>
    <xdr:sp macro="" textlink="Pivot!D12">
      <xdr:nvSpPr>
        <xdr:cNvPr id="26" name="TextBox 25">
          <a:extLst>
            <a:ext uri="{FF2B5EF4-FFF2-40B4-BE49-F238E27FC236}">
              <a16:creationId xmlns:a16="http://schemas.microsoft.com/office/drawing/2014/main" id="{A4C46C34-B5BD-4AF1-BCE4-14BFFF246C66}"/>
            </a:ext>
          </a:extLst>
        </xdr:cNvPr>
        <xdr:cNvSpPr txBox="1"/>
      </xdr:nvSpPr>
      <xdr:spPr>
        <a:xfrm>
          <a:off x="695740" y="4925935"/>
          <a:ext cx="826052" cy="220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A7877B-EBAA-4C86-952E-9A0624401DA4}" type="TxLink">
            <a:rPr lang="en-US" sz="1100" b="0" i="0" u="none" strike="noStrike">
              <a:solidFill>
                <a:schemeClr val="accent6">
                  <a:lumMod val="20000"/>
                  <a:lumOff val="80000"/>
                </a:schemeClr>
              </a:solidFill>
              <a:latin typeface="+mj-lt"/>
              <a:ea typeface="+mn-ea"/>
              <a:cs typeface="+mn-cs"/>
            </a:rPr>
            <a:pPr marL="0" indent="0" algn="ctr"/>
            <a:t>3.9</a:t>
          </a:fld>
          <a:endParaRPr lang="en-IN" sz="1100" b="0" i="0" u="none" strike="noStrike">
            <a:solidFill>
              <a:schemeClr val="accent6">
                <a:lumMod val="20000"/>
                <a:lumOff val="80000"/>
              </a:schemeClr>
            </a:solidFill>
            <a:latin typeface="+mj-lt"/>
            <a:ea typeface="+mn-ea"/>
            <a:cs typeface="+mn-cs"/>
          </a:endParaRPr>
        </a:p>
      </xdr:txBody>
    </xdr:sp>
    <xdr:clientData/>
  </xdr:twoCellAnchor>
  <xdr:twoCellAnchor>
    <xdr:from>
      <xdr:col>1</xdr:col>
      <xdr:colOff>0</xdr:colOff>
      <xdr:row>29</xdr:row>
      <xdr:rowOff>0</xdr:rowOff>
    </xdr:from>
    <xdr:to>
      <xdr:col>3</xdr:col>
      <xdr:colOff>609600</xdr:colOff>
      <xdr:row>35</xdr:row>
      <xdr:rowOff>8043</xdr:rowOff>
    </xdr:to>
    <xdr:sp macro="" textlink="Pivot!E6">
      <xdr:nvSpPr>
        <xdr:cNvPr id="27" name="Rectangle 26">
          <a:extLst>
            <a:ext uri="{FF2B5EF4-FFF2-40B4-BE49-F238E27FC236}">
              <a16:creationId xmlns:a16="http://schemas.microsoft.com/office/drawing/2014/main" id="{DB05AF1A-56BE-4209-A9CE-A605F50097B2}"/>
            </a:ext>
          </a:extLst>
        </xdr:cNvPr>
        <xdr:cNvSpPr/>
      </xdr:nvSpPr>
      <xdr:spPr>
        <a:xfrm>
          <a:off x="338667" y="5376333"/>
          <a:ext cx="1615016" cy="114046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A2C1CA0-EFDE-48E6-BEF5-A5847083AF24}"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1</xdr:col>
      <xdr:colOff>201082</xdr:colOff>
      <xdr:row>29</xdr:row>
      <xdr:rowOff>127000</xdr:rowOff>
    </xdr:from>
    <xdr:to>
      <xdr:col>3</xdr:col>
      <xdr:colOff>368722</xdr:colOff>
      <xdr:row>31</xdr:row>
      <xdr:rowOff>4232</xdr:rowOff>
    </xdr:to>
    <xdr:sp macro="" textlink="">
      <xdr:nvSpPr>
        <xdr:cNvPr id="28" name="TextBox 27">
          <a:extLst>
            <a:ext uri="{FF2B5EF4-FFF2-40B4-BE49-F238E27FC236}">
              <a16:creationId xmlns:a16="http://schemas.microsoft.com/office/drawing/2014/main" id="{7F5097DE-2806-4CC0-9C3A-498727D29EB3}"/>
            </a:ext>
          </a:extLst>
        </xdr:cNvPr>
        <xdr:cNvSpPr txBox="1"/>
      </xdr:nvSpPr>
      <xdr:spPr>
        <a:xfrm>
          <a:off x="539749" y="5503333"/>
          <a:ext cx="1173056" cy="23706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mj-lt"/>
            </a:rPr>
            <a:t>Happy Calls</a:t>
          </a:r>
        </a:p>
      </xdr:txBody>
    </xdr:sp>
    <xdr:clientData/>
  </xdr:twoCellAnchor>
  <xdr:twoCellAnchor>
    <xdr:from>
      <xdr:col>2</xdr:col>
      <xdr:colOff>0</xdr:colOff>
      <xdr:row>32</xdr:row>
      <xdr:rowOff>155152</xdr:rowOff>
    </xdr:from>
    <xdr:to>
      <xdr:col>3</xdr:col>
      <xdr:colOff>152400</xdr:colOff>
      <xdr:row>34</xdr:row>
      <xdr:rowOff>0</xdr:rowOff>
    </xdr:to>
    <xdr:sp macro="" textlink="Pivot!E12">
      <xdr:nvSpPr>
        <xdr:cNvPr id="30" name="TextBox 29">
          <a:extLst>
            <a:ext uri="{FF2B5EF4-FFF2-40B4-BE49-F238E27FC236}">
              <a16:creationId xmlns:a16="http://schemas.microsoft.com/office/drawing/2014/main" id="{AAFF12BB-EC34-48E1-883F-FB46F56894DB}"/>
            </a:ext>
          </a:extLst>
        </xdr:cNvPr>
        <xdr:cNvSpPr txBox="1"/>
      </xdr:nvSpPr>
      <xdr:spPr>
        <a:xfrm>
          <a:off x="677333" y="6124152"/>
          <a:ext cx="819150" cy="204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BDDAC2-B8C5-45FB-8D8E-FC7790134221}" type="TxLink">
            <a:rPr lang="en-US" sz="1100" b="0" i="0" u="none" strike="noStrike">
              <a:solidFill>
                <a:schemeClr val="accent6">
                  <a:lumMod val="20000"/>
                  <a:lumOff val="80000"/>
                </a:schemeClr>
              </a:solidFill>
              <a:latin typeface="+mj-lt"/>
              <a:ea typeface="+mn-ea"/>
              <a:cs typeface="+mn-cs"/>
            </a:rPr>
            <a:pPr marL="0" indent="0" algn="ctr"/>
            <a:t>60</a:t>
          </a:fld>
          <a:endParaRPr lang="en-IN" sz="1100" b="0" i="0" u="none" strike="noStrike">
            <a:solidFill>
              <a:schemeClr val="accent6">
                <a:lumMod val="20000"/>
                <a:lumOff val="80000"/>
              </a:schemeClr>
            </a:solidFill>
            <a:latin typeface="+mj-lt"/>
            <a:ea typeface="+mn-ea"/>
            <a:cs typeface="+mn-cs"/>
          </a:endParaRPr>
        </a:p>
      </xdr:txBody>
    </xdr:sp>
    <xdr:clientData/>
  </xdr:twoCellAnchor>
  <xdr:twoCellAnchor editAs="oneCell">
    <xdr:from>
      <xdr:col>1</xdr:col>
      <xdr:colOff>23596</xdr:colOff>
      <xdr:row>21</xdr:row>
      <xdr:rowOff>43033</xdr:rowOff>
    </xdr:from>
    <xdr:to>
      <xdr:col>2</xdr:col>
      <xdr:colOff>102125</xdr:colOff>
      <xdr:row>23</xdr:row>
      <xdr:rowOff>75087</xdr:rowOff>
    </xdr:to>
    <xdr:pic>
      <xdr:nvPicPr>
        <xdr:cNvPr id="31" name="Graphic 30" descr="Rating Star with solid fill">
          <a:extLst>
            <a:ext uri="{FF2B5EF4-FFF2-40B4-BE49-F238E27FC236}">
              <a16:creationId xmlns:a16="http://schemas.microsoft.com/office/drawing/2014/main" id="{D7BFFC20-1AE1-48DC-8C5A-FF6303A900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65944" y="4073903"/>
          <a:ext cx="420877" cy="407532"/>
        </a:xfrm>
        <a:prstGeom prst="rect">
          <a:avLst/>
        </a:prstGeom>
      </xdr:spPr>
    </xdr:pic>
    <xdr:clientData/>
  </xdr:twoCellAnchor>
  <xdr:twoCellAnchor editAs="oneCell">
    <xdr:from>
      <xdr:col>1</xdr:col>
      <xdr:colOff>17356</xdr:colOff>
      <xdr:row>29</xdr:row>
      <xdr:rowOff>179977</xdr:rowOff>
    </xdr:from>
    <xdr:to>
      <xdr:col>2</xdr:col>
      <xdr:colOff>95960</xdr:colOff>
      <xdr:row>31</xdr:row>
      <xdr:rowOff>201992</xdr:rowOff>
    </xdr:to>
    <xdr:pic>
      <xdr:nvPicPr>
        <xdr:cNvPr id="32" name="Graphic 31" descr="Star-struck face outline with solid fill">
          <a:extLst>
            <a:ext uri="{FF2B5EF4-FFF2-40B4-BE49-F238E27FC236}">
              <a16:creationId xmlns:a16="http://schemas.microsoft.com/office/drawing/2014/main" id="{FF4CCDF6-274A-483C-99EA-478DDF120D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9704" y="5756934"/>
          <a:ext cx="420952" cy="397493"/>
        </a:xfrm>
        <a:prstGeom prst="rect">
          <a:avLst/>
        </a:prstGeom>
      </xdr:spPr>
    </xdr:pic>
    <xdr:clientData/>
  </xdr:twoCellAnchor>
  <xdr:twoCellAnchor editAs="oneCell">
    <xdr:from>
      <xdr:col>1</xdr:col>
      <xdr:colOff>72115</xdr:colOff>
      <xdr:row>15</xdr:row>
      <xdr:rowOff>25473</xdr:rowOff>
    </xdr:from>
    <xdr:to>
      <xdr:col>2</xdr:col>
      <xdr:colOff>65342</xdr:colOff>
      <xdr:row>16</xdr:row>
      <xdr:rowOff>157885</xdr:rowOff>
    </xdr:to>
    <xdr:pic>
      <xdr:nvPicPr>
        <xdr:cNvPr id="33" name="Graphic 32" descr="Hourglass Finished with solid fill">
          <a:extLst>
            <a:ext uri="{FF2B5EF4-FFF2-40B4-BE49-F238E27FC236}">
              <a16:creationId xmlns:a16="http://schemas.microsoft.com/office/drawing/2014/main" id="{261208B9-EC8C-45AC-B802-9D9B17BD4C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4463" y="2841560"/>
          <a:ext cx="335575" cy="320151"/>
        </a:xfrm>
        <a:prstGeom prst="rect">
          <a:avLst/>
        </a:prstGeom>
      </xdr:spPr>
    </xdr:pic>
    <xdr:clientData/>
  </xdr:twoCellAnchor>
  <xdr:twoCellAnchor editAs="oneCell">
    <xdr:from>
      <xdr:col>1</xdr:col>
      <xdr:colOff>60535</xdr:colOff>
      <xdr:row>7</xdr:row>
      <xdr:rowOff>167006</xdr:rowOff>
    </xdr:from>
    <xdr:to>
      <xdr:col>2</xdr:col>
      <xdr:colOff>58631</xdr:colOff>
      <xdr:row>9</xdr:row>
      <xdr:rowOff>117605</xdr:rowOff>
    </xdr:to>
    <xdr:pic>
      <xdr:nvPicPr>
        <xdr:cNvPr id="34" name="Graphic 33" descr="Shopping cart with solid fill">
          <a:extLst>
            <a:ext uri="{FF2B5EF4-FFF2-40B4-BE49-F238E27FC236}">
              <a16:creationId xmlns:a16="http://schemas.microsoft.com/office/drawing/2014/main" id="{83E38D5C-B1A5-481F-9774-3470916930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9202" y="1426423"/>
          <a:ext cx="332952" cy="310432"/>
        </a:xfrm>
        <a:prstGeom prst="rect">
          <a:avLst/>
        </a:prstGeom>
      </xdr:spPr>
    </xdr:pic>
    <xdr:clientData/>
  </xdr:twoCellAnchor>
  <xdr:twoCellAnchor>
    <xdr:from>
      <xdr:col>10</xdr:col>
      <xdr:colOff>1</xdr:colOff>
      <xdr:row>1</xdr:row>
      <xdr:rowOff>169333</xdr:rowOff>
    </xdr:from>
    <xdr:to>
      <xdr:col>13</xdr:col>
      <xdr:colOff>1</xdr:colOff>
      <xdr:row>16</xdr:row>
      <xdr:rowOff>17356</xdr:rowOff>
    </xdr:to>
    <xdr:graphicFrame macro="">
      <xdr:nvGraphicFramePr>
        <xdr:cNvPr id="6" name="Chart 5">
          <a:extLst>
            <a:ext uri="{FF2B5EF4-FFF2-40B4-BE49-F238E27FC236}">
              <a16:creationId xmlns:a16="http://schemas.microsoft.com/office/drawing/2014/main" id="{E3DC9886-F394-4833-9A13-907F5AB13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96097</xdr:colOff>
      <xdr:row>1</xdr:row>
      <xdr:rowOff>173143</xdr:rowOff>
    </xdr:from>
    <xdr:to>
      <xdr:col>10</xdr:col>
      <xdr:colOff>0</xdr:colOff>
      <xdr:row>16</xdr:row>
      <xdr:rowOff>21167</xdr:rowOff>
    </xdr:to>
    <xdr:graphicFrame macro="">
      <xdr:nvGraphicFramePr>
        <xdr:cNvPr id="36" name="Chart 35">
          <a:extLst>
            <a:ext uri="{FF2B5EF4-FFF2-40B4-BE49-F238E27FC236}">
              <a16:creationId xmlns:a16="http://schemas.microsoft.com/office/drawing/2014/main" id="{FAC95749-3A39-440D-9798-7DDF795B1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146261</xdr:colOff>
      <xdr:row>18</xdr:row>
      <xdr:rowOff>0</xdr:rowOff>
    </xdr:from>
    <xdr:to>
      <xdr:col>8</xdr:col>
      <xdr:colOff>489309</xdr:colOff>
      <xdr:row>36</xdr:row>
      <xdr:rowOff>169333</xdr:rowOff>
    </xdr:to>
    <xdr:graphicFrame macro="">
      <xdr:nvGraphicFramePr>
        <xdr:cNvPr id="7" name="Chart 6">
          <a:extLst>
            <a:ext uri="{FF2B5EF4-FFF2-40B4-BE49-F238E27FC236}">
              <a16:creationId xmlns:a16="http://schemas.microsoft.com/office/drawing/2014/main" id="{9AA8B18F-C775-4AA8-AAE9-19C074212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285749</xdr:colOff>
      <xdr:row>17</xdr:row>
      <xdr:rowOff>164465</xdr:rowOff>
    </xdr:from>
    <xdr:to>
      <xdr:col>13</xdr:col>
      <xdr:colOff>207856</xdr:colOff>
      <xdr:row>36</xdr:row>
      <xdr:rowOff>144356</xdr:rowOff>
    </xdr:to>
    <xdr:graphicFrame macro="">
      <xdr:nvGraphicFramePr>
        <xdr:cNvPr id="8" name="Chart 7">
          <a:extLst>
            <a:ext uri="{FF2B5EF4-FFF2-40B4-BE49-F238E27FC236}">
              <a16:creationId xmlns:a16="http://schemas.microsoft.com/office/drawing/2014/main" id="{BE04263F-8EBE-40F8-88DB-E52BCCADB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57573</xdr:colOff>
      <xdr:row>1</xdr:row>
      <xdr:rowOff>173142</xdr:rowOff>
    </xdr:from>
    <xdr:to>
      <xdr:col>17</xdr:col>
      <xdr:colOff>0</xdr:colOff>
      <xdr:row>16</xdr:row>
      <xdr:rowOff>63500</xdr:rowOff>
    </xdr:to>
    <xdr:graphicFrame macro="">
      <xdr:nvGraphicFramePr>
        <xdr:cNvPr id="11" name="Chart 10">
          <a:extLst>
            <a:ext uri="{FF2B5EF4-FFF2-40B4-BE49-F238E27FC236}">
              <a16:creationId xmlns:a16="http://schemas.microsoft.com/office/drawing/2014/main" id="{8048A9EB-1CA1-4A0F-804F-66B0C0866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56727</xdr:colOff>
      <xdr:row>2</xdr:row>
      <xdr:rowOff>0</xdr:rowOff>
    </xdr:from>
    <xdr:to>
      <xdr:col>22</xdr:col>
      <xdr:colOff>0</xdr:colOff>
      <xdr:row>16</xdr:row>
      <xdr:rowOff>86571</xdr:rowOff>
    </xdr:to>
    <xdr:graphicFrame macro="">
      <xdr:nvGraphicFramePr>
        <xdr:cNvPr id="12" name="Chart 11">
          <a:extLst>
            <a:ext uri="{FF2B5EF4-FFF2-40B4-BE49-F238E27FC236}">
              <a16:creationId xmlns:a16="http://schemas.microsoft.com/office/drawing/2014/main" id="{0B1739DB-E2DF-4DEF-8ACB-8382022D6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398220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398220</xdr:colOff>
      <xdr:row>2</xdr:row>
      <xdr:rowOff>288150</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398220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398220</xdr:colOff>
      <xdr:row>5</xdr:row>
      <xdr:rowOff>174510</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398220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436244</xdr:colOff>
      <xdr:row>18</xdr:row>
      <xdr:rowOff>164249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4</xdr:col>
      <xdr:colOff>0</xdr:colOff>
      <xdr:row>12</xdr:row>
      <xdr:rowOff>0</xdr:rowOff>
    </xdr:from>
    <xdr:to>
      <xdr:col>5</xdr:col>
      <xdr:colOff>86139</xdr:colOff>
      <xdr:row>17</xdr:row>
      <xdr:rowOff>3313</xdr:rowOff>
    </xdr:to>
    <xdr:pic>
      <xdr:nvPicPr>
        <xdr:cNvPr id="9" name="Graphic 8" descr="Coins with solid fill">
          <a:extLst>
            <a:ext uri="{FF2B5EF4-FFF2-40B4-BE49-F238E27FC236}">
              <a16:creationId xmlns:a16="http://schemas.microsoft.com/office/drawing/2014/main" id="{FB5F8E76-FAB5-6B3B-C364-7F18CDEA67D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683565" y="289063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047.968337268518" backgroundQuery="1" createdVersion="8" refreshedVersion="8" minRefreshableVersion="3" recordCount="0" supportSubquery="1" supportAdvancedDrill="1" xr:uid="{473402D5-7F0D-484F-A9F2-3BB26E34C012}">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047.993616898151" backgroundQuery="1" createdVersion="8" refreshedVersion="8" minRefreshableVersion="3" recordCount="0" supportSubquery="1" supportAdvancedDrill="1" xr:uid="{CE72AB9C-8D9F-471D-A806-62272C10C77A}">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048.038230208331" backgroundQuery="1" createdVersion="8" refreshedVersion="8" minRefreshableVersion="3" recordCount="0" supportSubquery="1" supportAdvancedDrill="1" xr:uid="{723520F0-78D4-4EDA-A551-BB51D9458AE1}">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048.061672453703" backgroundQuery="1" createdVersion="8" refreshedVersion="8" minRefreshableVersion="3" recordCount="0" supportSubquery="1" supportAdvancedDrill="1" xr:uid="{950EDECD-338F-4A73-B0E4-A31F3641D2B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2"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2"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107.493116550926" backgroundQuery="1" createdVersion="8" refreshedVersion="8" minRefreshableVersion="3" recordCount="0" supportSubquery="1" supportAdvancedDrill="1" xr:uid="{5896CEB8-7BC4-4811-963E-D7AE52CBED5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107.49311909722" backgroundQuery="1" createdVersion="8" refreshedVersion="8" minRefreshableVersion="3" recordCount="0" supportSubquery="1" supportAdvancedDrill="1" xr:uid="{F5CCE8A4-9A50-45BE-9D7B-392DB982512F}">
  <cacheSource type="external" connectionId="1"/>
  <cacheFields count="5">
    <cacheField name="[calls].[Date of Call].[Date of Call]" caption="Date of Call" numFmtId="0" hierarchy="4" level="1">
      <sharedItems containsSemiMixedTypes="0" containsNonDate="0" containsDate="1" containsString="0" minDate="2023-01-03T00:00:00" maxDate="2023-01-31T00:00:00" count="11">
        <d v="2023-01-03T00:00:00"/>
        <d v="2023-01-05T00:00:00"/>
        <d v="2023-01-15T00:00:00"/>
        <d v="2023-01-16T00:00:00"/>
        <d v="2023-01-18T00:00:00"/>
        <d v="2023-01-19T00:00:00"/>
        <d v="2023-01-21T00:00:00"/>
        <d v="2023-01-24T00:00:00"/>
        <d v="2023-01-27T00:00:00"/>
        <d v="2023-01-28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107.493121874999" backgroundQuery="1" createdVersion="8" refreshedVersion="8" minRefreshableVersion="3" recordCount="0" supportSubquery="1" supportAdvancedDrill="1" xr:uid="{D422180E-C18B-4E2B-82A9-3B6043B8447F}">
  <cacheSource type="external" connectionId="1"/>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107.493124421293" backgroundQuery="1" createdVersion="8" refreshedVersion="8" minRefreshableVersion="3" recordCount="0" supportSubquery="1" supportAdvancedDrill="1" xr:uid="{7E88051F-A6C6-4508-A8F5-657BEA15EB15}">
  <cacheSource type="external" connectionId="1"/>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107.493126967594" backgroundQuery="1" createdVersion="8" refreshedVersion="8" minRefreshableVersion="3" recordCount="0" supportSubquery="1" supportAdvancedDrill="1" xr:uid="{8372F92C-0DBA-4E63-9D9F-33B27F2C2AC4}">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 Tambad" refreshedDate="46047.968331828706" backgroundQuery="1" createdVersion="3" refreshedVersion="8" minRefreshableVersion="3" recordCount="0" supportSubquery="1" supportAdvancedDrill="1" xr:uid="{8ADEFAE3-DBF6-4485-877A-54531713DF1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96613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2E7DC5-CDE5-4130-A391-B9E47B7C3360}"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MIS repor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5C50D0-8510-4B36-A64E-300CED0C4A92}" name="Selected Rep"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5:Q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3DF09-8705-4CFF-9BC5-95F1492F82DD}" name="Monthly trand"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6:C29"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MIS repor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BBF25-690B-4DA3-9FCE-38AD5CD6A86A}" name="Weekly Trend"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32:B40"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3">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MIS repor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102898-F9E7-4AED-9057-AC2984C4BAEC}"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colHeaderCaption="Rep">
  <location ref="E25:K4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46A2EF-CFEE-4DDF-87D2-4D1E11C8CE31}" name="Reps Pivo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I1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MIS repor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5F7F38-AC3F-4123-9526-6BADA68D4ECC}" name="Rep Satisfation"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colHeaderCaption="Gender">
  <location ref="J14:K2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315B99-0DE4-4808-815B-4DAB84A2792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colHeaderCaption="Gender">
  <location ref="E16:H2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5E5B00-4256-4912-A19C-2C39A9D91B7D}" name="Rep Pivot"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MIS repor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922D66F-1091-4A10-A67F-99617C7373C3}" sourceName="[calls].[Representative]">
  <pivotTables>
    <pivotTable tabId="6" name="Rep Pivot"/>
    <pivotTable tabId="6" name="Monthly trand"/>
    <pivotTable tabId="6" name="Weekly Trend"/>
    <pivotTable tabId="6" name="Selected Rep"/>
    <pivotTable tabId="6" name="Rep Satisfation"/>
  </pivotTables>
  <data>
    <olap pivotCacheId="186966136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EFFF671-FD8F-4A58-B9FF-893638B3F1D6}" cache="Slicer_Representative" caption="Representative" level="1" style="SlicerStyleLight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BCB81-10F5-492E-86BA-05A8751407BA}">
  <dimension ref="A2:Q44"/>
  <sheetViews>
    <sheetView workbookViewId="0">
      <selection activeCell="P20" sqref="P20"/>
    </sheetView>
  </sheetViews>
  <sheetFormatPr defaultRowHeight="14.4" x14ac:dyDescent="0.3"/>
  <cols>
    <col min="1" max="1" width="12.19921875" bestFit="1" customWidth="1"/>
    <col min="2" max="2" width="9.5" bestFit="1" customWidth="1"/>
    <col min="3" max="3" width="10.5" bestFit="1" customWidth="1"/>
    <col min="4" max="4" width="9.796875" bestFit="1" customWidth="1"/>
    <col min="5" max="5" width="7.296875" bestFit="1" customWidth="1"/>
    <col min="6" max="7" width="6.796875" bestFit="1" customWidth="1"/>
    <col min="8" max="8" width="11" customWidth="1"/>
    <col min="9" max="9" width="12.5" customWidth="1"/>
    <col min="10" max="10" width="12.19921875" bestFit="1" customWidth="1"/>
    <col min="11" max="11" width="9.5" bestFit="1" customWidth="1"/>
    <col min="12" max="12" width="4.8984375" bestFit="1" customWidth="1"/>
    <col min="13" max="13" width="10.8984375" bestFit="1" customWidth="1"/>
    <col min="15" max="15" width="13.5" customWidth="1"/>
    <col min="17" max="17" width="12.19921875" bestFit="1" customWidth="1"/>
  </cols>
  <sheetData>
    <row r="2" spans="1:17" x14ac:dyDescent="0.3">
      <c r="M2" s="14" t="s">
        <v>1075</v>
      </c>
      <c r="N2" t="str">
        <f>Q6</f>
        <v>R01</v>
      </c>
    </row>
    <row r="4" spans="1:17" ht="15" thickBot="1" x14ac:dyDescent="0.35">
      <c r="K4" s="27" t="s">
        <v>1069</v>
      </c>
    </row>
    <row r="5" spans="1:17" x14ac:dyDescent="0.3">
      <c r="A5" t="s">
        <v>1042</v>
      </c>
      <c r="B5" t="s">
        <v>1043</v>
      </c>
      <c r="C5" t="s">
        <v>1044</v>
      </c>
      <c r="D5" t="s">
        <v>1045</v>
      </c>
      <c r="E5" t="s">
        <v>1046</v>
      </c>
      <c r="G5" s="25" t="s">
        <v>1047</v>
      </c>
      <c r="H5" t="s">
        <v>1042</v>
      </c>
      <c r="I5" t="s">
        <v>1043</v>
      </c>
      <c r="K5" t="s">
        <v>1070</v>
      </c>
      <c r="L5" t="s">
        <v>1071</v>
      </c>
      <c r="M5" t="s">
        <v>1072</v>
      </c>
      <c r="N5" t="s">
        <v>1073</v>
      </c>
      <c r="O5" t="s">
        <v>1074</v>
      </c>
      <c r="Q5" s="25" t="s">
        <v>1047</v>
      </c>
    </row>
    <row r="6" spans="1:17" x14ac:dyDescent="0.3">
      <c r="A6" s="21">
        <v>1000</v>
      </c>
      <c r="B6" s="22">
        <v>96623</v>
      </c>
      <c r="C6" s="21">
        <v>89850</v>
      </c>
      <c r="D6" s="23">
        <v>3.8854000000000033</v>
      </c>
      <c r="E6" s="24">
        <v>307</v>
      </c>
      <c r="G6" s="26" t="s">
        <v>11</v>
      </c>
      <c r="H6" s="21">
        <v>189</v>
      </c>
      <c r="I6" s="22">
        <v>18415</v>
      </c>
      <c r="K6" t="str" cm="1">
        <f t="array" ref="K6:M10">G6:I10</f>
        <v>R01</v>
      </c>
      <c r="L6">
        <v>189</v>
      </c>
      <c r="M6" s="28">
        <v>18415</v>
      </c>
      <c r="N6">
        <f>IF(K6=$N$2,L6,NA())</f>
        <v>189</v>
      </c>
      <c r="O6" s="28">
        <f>IF(K6=$N$2,M6,NA())</f>
        <v>18415</v>
      </c>
      <c r="Q6" s="26" t="s">
        <v>11</v>
      </c>
    </row>
    <row r="7" spans="1:17" x14ac:dyDescent="0.3">
      <c r="G7" s="26" t="s">
        <v>9</v>
      </c>
      <c r="H7" s="21">
        <v>218</v>
      </c>
      <c r="I7" s="22">
        <v>20581</v>
      </c>
      <c r="K7" t="str">
        <v>R02</v>
      </c>
      <c r="L7">
        <v>218</v>
      </c>
      <c r="M7" s="28">
        <v>20581</v>
      </c>
      <c r="N7" t="e">
        <f t="shared" ref="N7:N10" si="0">IF(K7=$N$2,L7,NA())</f>
        <v>#N/A</v>
      </c>
      <c r="O7" s="28" t="e">
        <f t="shared" ref="O7:O10" si="1">IF(K7=$N$2,M7,NA())</f>
        <v>#N/A</v>
      </c>
      <c r="Q7" s="26" t="s">
        <v>1048</v>
      </c>
    </row>
    <row r="8" spans="1:17" x14ac:dyDescent="0.3">
      <c r="G8" s="26" t="s">
        <v>6</v>
      </c>
      <c r="H8" s="21">
        <v>207</v>
      </c>
      <c r="I8" s="22">
        <v>20872</v>
      </c>
      <c r="K8" t="str">
        <v>R03</v>
      </c>
      <c r="L8">
        <v>207</v>
      </c>
      <c r="M8" s="28">
        <v>20872</v>
      </c>
      <c r="N8" t="e">
        <f t="shared" si="0"/>
        <v>#N/A</v>
      </c>
      <c r="O8" s="28" t="e">
        <f t="shared" si="1"/>
        <v>#N/A</v>
      </c>
    </row>
    <row r="9" spans="1:17" x14ac:dyDescent="0.3">
      <c r="G9" s="26" t="s">
        <v>13</v>
      </c>
      <c r="H9" s="21">
        <v>186</v>
      </c>
      <c r="I9" s="22">
        <v>16651</v>
      </c>
      <c r="K9" t="str">
        <v>R04</v>
      </c>
      <c r="L9">
        <v>186</v>
      </c>
      <c r="M9" s="28">
        <v>16651</v>
      </c>
      <c r="N9" t="e">
        <f t="shared" si="0"/>
        <v>#N/A</v>
      </c>
      <c r="O9" s="28" t="e">
        <f t="shared" si="1"/>
        <v>#N/A</v>
      </c>
    </row>
    <row r="10" spans="1:17" x14ac:dyDescent="0.3">
      <c r="G10" s="26" t="s">
        <v>10</v>
      </c>
      <c r="H10" s="21">
        <v>200</v>
      </c>
      <c r="I10" s="22">
        <v>20104</v>
      </c>
      <c r="K10" t="str">
        <v>R05</v>
      </c>
      <c r="L10">
        <v>200</v>
      </c>
      <c r="M10" s="28">
        <v>20104</v>
      </c>
      <c r="N10" t="e">
        <f t="shared" si="0"/>
        <v>#N/A</v>
      </c>
      <c r="O10" s="28" t="e">
        <f t="shared" si="1"/>
        <v>#N/A</v>
      </c>
    </row>
    <row r="11" spans="1:17" x14ac:dyDescent="0.3">
      <c r="A11" t="s">
        <v>1042</v>
      </c>
      <c r="B11" t="s">
        <v>1043</v>
      </c>
      <c r="C11" t="s">
        <v>1044</v>
      </c>
      <c r="D11" t="s">
        <v>1045</v>
      </c>
      <c r="E11" t="s">
        <v>1046</v>
      </c>
      <c r="G11" s="26" t="s">
        <v>1048</v>
      </c>
      <c r="H11" s="21">
        <v>1000</v>
      </c>
      <c r="I11" s="22">
        <v>96623</v>
      </c>
    </row>
    <row r="12" spans="1:17" x14ac:dyDescent="0.3">
      <c r="A12" s="21">
        <v>189</v>
      </c>
      <c r="B12" s="39">
        <v>18415</v>
      </c>
      <c r="C12" s="21">
        <v>16834</v>
      </c>
      <c r="D12" s="23">
        <v>3.9227513227513247</v>
      </c>
      <c r="E12" s="24">
        <v>60</v>
      </c>
    </row>
    <row r="14" spans="1:17" x14ac:dyDescent="0.3">
      <c r="J14" s="25" t="s">
        <v>1047</v>
      </c>
      <c r="K14" t="s">
        <v>1042</v>
      </c>
      <c r="O14" s="14" t="s">
        <v>1080</v>
      </c>
    </row>
    <row r="15" spans="1:17" x14ac:dyDescent="0.3">
      <c r="J15" s="26">
        <v>1</v>
      </c>
      <c r="K15" s="21">
        <v>1</v>
      </c>
      <c r="O15" t="s">
        <v>1079</v>
      </c>
      <c r="P15" s="1">
        <f>GETPIVOTDATA("[Measures].[Call Count]",$A$11)/GETPIVOTDATA("[Measures].[Call Count]",$A$5)</f>
        <v>0.189</v>
      </c>
    </row>
    <row r="16" spans="1:17" x14ac:dyDescent="0.3">
      <c r="A16" s="25" t="s">
        <v>1047</v>
      </c>
      <c r="B16" t="s">
        <v>1042</v>
      </c>
      <c r="C16" t="s">
        <v>1061</v>
      </c>
      <c r="E16" s="25" t="s">
        <v>1042</v>
      </c>
      <c r="F16" s="25" t="s">
        <v>1076</v>
      </c>
      <c r="J16" s="26">
        <v>2</v>
      </c>
      <c r="K16" s="21">
        <v>9</v>
      </c>
      <c r="O16" t="s">
        <v>1071</v>
      </c>
      <c r="P16">
        <f>_xlfn.XLOOKUP(Q6,K6:K10,L6:L10)</f>
        <v>189</v>
      </c>
    </row>
    <row r="17" spans="1:16" x14ac:dyDescent="0.3">
      <c r="A17" s="26" t="s">
        <v>1049</v>
      </c>
      <c r="B17" s="21">
        <v>16</v>
      </c>
      <c r="C17" s="21">
        <v>16</v>
      </c>
      <c r="E17" s="25" t="s">
        <v>1047</v>
      </c>
      <c r="F17" t="s">
        <v>999</v>
      </c>
      <c r="G17" t="s">
        <v>998</v>
      </c>
      <c r="H17" t="s">
        <v>1048</v>
      </c>
      <c r="J17" s="26">
        <v>3</v>
      </c>
      <c r="K17" s="21">
        <v>31</v>
      </c>
      <c r="O17" t="s">
        <v>1072</v>
      </c>
      <c r="P17">
        <f>_xlfn.XLOOKUP(Q6,K6:K10,M6:M10)</f>
        <v>18415</v>
      </c>
    </row>
    <row r="18" spans="1:16" x14ac:dyDescent="0.3">
      <c r="A18" s="26" t="s">
        <v>1050</v>
      </c>
      <c r="B18" s="21">
        <v>14</v>
      </c>
      <c r="C18" s="21">
        <v>14</v>
      </c>
      <c r="E18" s="26" t="s">
        <v>1002</v>
      </c>
      <c r="F18" s="21">
        <v>144</v>
      </c>
      <c r="G18" s="21">
        <v>132</v>
      </c>
      <c r="H18" s="21">
        <v>276</v>
      </c>
      <c r="J18" s="26">
        <v>4</v>
      </c>
      <c r="K18" s="21">
        <v>88</v>
      </c>
    </row>
    <row r="19" spans="1:16" x14ac:dyDescent="0.3">
      <c r="A19" s="26" t="s">
        <v>1051</v>
      </c>
      <c r="B19" s="21">
        <v>26</v>
      </c>
      <c r="C19" s="21">
        <v>26</v>
      </c>
      <c r="E19" s="26" t="s">
        <v>1001</v>
      </c>
      <c r="F19" s="21">
        <v>326</v>
      </c>
      <c r="G19" s="21">
        <v>63</v>
      </c>
      <c r="H19" s="21">
        <v>389</v>
      </c>
      <c r="J19" s="26">
        <v>5</v>
      </c>
      <c r="K19" s="21">
        <v>60</v>
      </c>
      <c r="O19" t="s">
        <v>1081</v>
      </c>
      <c r="P19">
        <f>_xlfn.RANK.AVG(P16,L6:L10)</f>
        <v>4</v>
      </c>
    </row>
    <row r="20" spans="1:16" x14ac:dyDescent="0.3">
      <c r="A20" s="26" t="s">
        <v>1052</v>
      </c>
      <c r="B20" s="21">
        <v>29</v>
      </c>
      <c r="C20" s="21">
        <v>29</v>
      </c>
      <c r="E20" s="26" t="s">
        <v>1000</v>
      </c>
      <c r="F20" s="21">
        <v>129</v>
      </c>
      <c r="G20" s="21">
        <v>206</v>
      </c>
      <c r="H20" s="21">
        <v>335</v>
      </c>
      <c r="J20" s="26" t="s">
        <v>1048</v>
      </c>
      <c r="K20" s="21">
        <v>189</v>
      </c>
      <c r="O20" t="s">
        <v>1082</v>
      </c>
      <c r="P20">
        <f>_xlfn.RANK.AVG(P17,M6:M10)</f>
        <v>4</v>
      </c>
    </row>
    <row r="21" spans="1:16" x14ac:dyDescent="0.3">
      <c r="A21" s="26" t="s">
        <v>1053</v>
      </c>
      <c r="B21" s="21">
        <v>17</v>
      </c>
      <c r="C21" s="21">
        <v>17</v>
      </c>
      <c r="E21" s="26" t="s">
        <v>1048</v>
      </c>
      <c r="F21" s="21">
        <v>599</v>
      </c>
      <c r="G21" s="21">
        <v>401</v>
      </c>
      <c r="H21" s="21">
        <v>1000</v>
      </c>
    </row>
    <row r="22" spans="1:16" x14ac:dyDescent="0.3">
      <c r="A22" s="26" t="s">
        <v>1054</v>
      </c>
      <c r="B22" s="21">
        <v>15</v>
      </c>
      <c r="C22" s="21">
        <v>15</v>
      </c>
    </row>
    <row r="23" spans="1:16" x14ac:dyDescent="0.3">
      <c r="A23" s="26" t="s">
        <v>1055</v>
      </c>
      <c r="B23" s="21">
        <v>15</v>
      </c>
      <c r="C23" s="21">
        <v>15</v>
      </c>
    </row>
    <row r="24" spans="1:16" x14ac:dyDescent="0.3">
      <c r="A24" s="26" t="s">
        <v>1056</v>
      </c>
      <c r="B24" s="21">
        <v>7</v>
      </c>
      <c r="C24" s="21">
        <v>7</v>
      </c>
    </row>
    <row r="25" spans="1:16" x14ac:dyDescent="0.3">
      <c r="A25" s="26" t="s">
        <v>1057</v>
      </c>
      <c r="B25" s="21">
        <v>11</v>
      </c>
      <c r="C25" s="21">
        <v>11</v>
      </c>
      <c r="E25" s="25" t="s">
        <v>1043</v>
      </c>
      <c r="F25" s="25" t="s">
        <v>1070</v>
      </c>
    </row>
    <row r="26" spans="1:16" x14ac:dyDescent="0.3">
      <c r="A26" s="26" t="s">
        <v>1058</v>
      </c>
      <c r="B26" s="21">
        <v>24</v>
      </c>
      <c r="C26" s="21">
        <v>24</v>
      </c>
      <c r="E26" s="25" t="s">
        <v>1047</v>
      </c>
      <c r="F26" t="s">
        <v>11</v>
      </c>
      <c r="G26" t="s">
        <v>9</v>
      </c>
      <c r="H26" t="s">
        <v>6</v>
      </c>
      <c r="I26" t="s">
        <v>13</v>
      </c>
      <c r="J26" t="s">
        <v>10</v>
      </c>
      <c r="K26" t="s">
        <v>1048</v>
      </c>
    </row>
    <row r="27" spans="1:16" x14ac:dyDescent="0.3">
      <c r="A27" s="26" t="s">
        <v>1059</v>
      </c>
      <c r="B27" s="21">
        <v>9</v>
      </c>
      <c r="C27" s="21">
        <v>9</v>
      </c>
      <c r="E27" s="26" t="s">
        <v>1002</v>
      </c>
    </row>
    <row r="28" spans="1:16" x14ac:dyDescent="0.3">
      <c r="A28" s="26" t="s">
        <v>1060</v>
      </c>
      <c r="B28" s="21">
        <v>6</v>
      </c>
      <c r="C28" s="21">
        <v>6</v>
      </c>
      <c r="E28" s="29" t="s">
        <v>20</v>
      </c>
      <c r="F28" s="22">
        <v>891</v>
      </c>
      <c r="G28" s="22">
        <v>1332</v>
      </c>
      <c r="H28" s="22">
        <v>1282</v>
      </c>
      <c r="I28" s="22">
        <v>739</v>
      </c>
      <c r="J28" s="22">
        <v>560</v>
      </c>
      <c r="K28" s="22">
        <v>4804</v>
      </c>
    </row>
    <row r="29" spans="1:16" x14ac:dyDescent="0.3">
      <c r="A29" s="26" t="s">
        <v>1048</v>
      </c>
      <c r="B29" s="21">
        <v>189</v>
      </c>
      <c r="C29" s="21">
        <v>189</v>
      </c>
      <c r="E29" s="29" t="s">
        <v>12</v>
      </c>
      <c r="F29" s="22">
        <v>1991</v>
      </c>
      <c r="G29" s="22">
        <v>1886</v>
      </c>
      <c r="H29" s="22">
        <v>1206</v>
      </c>
      <c r="I29" s="22">
        <v>884</v>
      </c>
      <c r="J29" s="22">
        <v>1722</v>
      </c>
      <c r="K29" s="22">
        <v>7689</v>
      </c>
    </row>
    <row r="30" spans="1:16" x14ac:dyDescent="0.3">
      <c r="E30" s="29" t="s">
        <v>8</v>
      </c>
      <c r="F30" s="22">
        <v>1163</v>
      </c>
      <c r="G30" s="22">
        <v>1180</v>
      </c>
      <c r="H30" s="22">
        <v>1616</v>
      </c>
      <c r="I30" s="22">
        <v>1043</v>
      </c>
      <c r="J30" s="22">
        <v>1747</v>
      </c>
      <c r="K30" s="22">
        <v>6749</v>
      </c>
    </row>
    <row r="31" spans="1:16" x14ac:dyDescent="0.3">
      <c r="E31" s="29" t="s">
        <v>16</v>
      </c>
      <c r="F31" s="22">
        <v>1438</v>
      </c>
      <c r="G31" s="22">
        <v>1616</v>
      </c>
      <c r="H31" s="22">
        <v>866</v>
      </c>
      <c r="I31" s="22">
        <v>829</v>
      </c>
      <c r="J31" s="22">
        <v>2070</v>
      </c>
      <c r="K31" s="22">
        <v>6819</v>
      </c>
    </row>
    <row r="32" spans="1:16" x14ac:dyDescent="0.3">
      <c r="A32" s="25" t="s">
        <v>1047</v>
      </c>
      <c r="B32" t="s">
        <v>1042</v>
      </c>
      <c r="E32" s="26" t="s">
        <v>1001</v>
      </c>
    </row>
    <row r="33" spans="1:11" x14ac:dyDescent="0.3">
      <c r="A33" s="26" t="s">
        <v>1062</v>
      </c>
      <c r="B33" s="21">
        <v>36</v>
      </c>
      <c r="E33" s="29" t="s">
        <v>24</v>
      </c>
      <c r="F33" s="22">
        <v>1233</v>
      </c>
      <c r="G33" s="22">
        <v>223</v>
      </c>
      <c r="H33" s="22">
        <v>1680</v>
      </c>
      <c r="I33" s="22">
        <v>990</v>
      </c>
      <c r="J33" s="22">
        <v>1508</v>
      </c>
      <c r="K33" s="22">
        <v>5634</v>
      </c>
    </row>
    <row r="34" spans="1:11" x14ac:dyDescent="0.3">
      <c r="A34" s="26" t="s">
        <v>1066</v>
      </c>
      <c r="B34" s="21">
        <v>30</v>
      </c>
      <c r="E34" s="29" t="s">
        <v>15</v>
      </c>
      <c r="F34" s="22">
        <v>1598</v>
      </c>
      <c r="G34" s="22">
        <v>1907</v>
      </c>
      <c r="H34" s="22">
        <v>869</v>
      </c>
      <c r="I34" s="22">
        <v>1426</v>
      </c>
      <c r="J34" s="22">
        <v>1416</v>
      </c>
      <c r="K34" s="22">
        <v>7216</v>
      </c>
    </row>
    <row r="35" spans="1:11" x14ac:dyDescent="0.3">
      <c r="A35" s="26" t="s">
        <v>1063</v>
      </c>
      <c r="B35" s="21">
        <v>13</v>
      </c>
      <c r="E35" s="29" t="s">
        <v>5</v>
      </c>
      <c r="F35" s="22">
        <v>900</v>
      </c>
      <c r="G35" s="22">
        <v>1016</v>
      </c>
      <c r="H35" s="22">
        <v>960</v>
      </c>
      <c r="I35" s="22">
        <v>940</v>
      </c>
      <c r="J35" s="22">
        <v>1193</v>
      </c>
      <c r="K35" s="22">
        <v>5009</v>
      </c>
    </row>
    <row r="36" spans="1:11" x14ac:dyDescent="0.3">
      <c r="A36" s="26" t="s">
        <v>1067</v>
      </c>
      <c r="B36" s="21">
        <v>23</v>
      </c>
      <c r="E36" s="29" t="s">
        <v>18</v>
      </c>
      <c r="F36" s="22">
        <v>900</v>
      </c>
      <c r="G36" s="22">
        <v>1470</v>
      </c>
      <c r="H36" s="22">
        <v>1617</v>
      </c>
      <c r="I36" s="22">
        <v>1314</v>
      </c>
      <c r="J36" s="22">
        <v>941</v>
      </c>
      <c r="K36" s="22">
        <v>6242</v>
      </c>
    </row>
    <row r="37" spans="1:11" x14ac:dyDescent="0.3">
      <c r="A37" s="26" t="s">
        <v>1064</v>
      </c>
      <c r="B37" s="21">
        <v>23</v>
      </c>
      <c r="E37" s="29" t="s">
        <v>14</v>
      </c>
      <c r="F37" s="22">
        <v>1255</v>
      </c>
      <c r="G37" s="22">
        <v>516</v>
      </c>
      <c r="H37" s="22">
        <v>1874</v>
      </c>
      <c r="I37" s="22">
        <v>1863</v>
      </c>
      <c r="J37" s="22">
        <v>1722</v>
      </c>
      <c r="K37" s="22">
        <v>7230</v>
      </c>
    </row>
    <row r="38" spans="1:11" x14ac:dyDescent="0.3">
      <c r="A38" s="26" t="s">
        <v>1065</v>
      </c>
      <c r="B38" s="21">
        <v>24</v>
      </c>
      <c r="E38" s="29" t="s">
        <v>19</v>
      </c>
      <c r="F38" s="22">
        <v>1138</v>
      </c>
      <c r="G38" s="22">
        <v>1898</v>
      </c>
      <c r="H38" s="22">
        <v>1482</v>
      </c>
      <c r="I38" s="22">
        <v>846</v>
      </c>
      <c r="J38" s="22">
        <v>1154</v>
      </c>
      <c r="K38" s="22">
        <v>6518</v>
      </c>
    </row>
    <row r="39" spans="1:11" x14ac:dyDescent="0.3">
      <c r="A39" s="26" t="s">
        <v>1068</v>
      </c>
      <c r="B39" s="21">
        <v>40</v>
      </c>
      <c r="E39" s="26" t="s">
        <v>1000</v>
      </c>
    </row>
    <row r="40" spans="1:11" x14ac:dyDescent="0.3">
      <c r="A40" s="26" t="s">
        <v>1048</v>
      </c>
      <c r="B40" s="21">
        <v>189</v>
      </c>
      <c r="E40" s="29" t="s">
        <v>17</v>
      </c>
      <c r="F40" s="22">
        <v>1655</v>
      </c>
      <c r="G40" s="22">
        <v>805</v>
      </c>
      <c r="H40" s="22">
        <v>2263</v>
      </c>
      <c r="I40" s="22">
        <v>987</v>
      </c>
      <c r="J40" s="22">
        <v>1075</v>
      </c>
      <c r="K40" s="22">
        <v>6785</v>
      </c>
    </row>
    <row r="41" spans="1:11" x14ac:dyDescent="0.3">
      <c r="E41" s="29" t="s">
        <v>23</v>
      </c>
      <c r="F41" s="22">
        <v>1104</v>
      </c>
      <c r="G41" s="22">
        <v>2280</v>
      </c>
      <c r="H41" s="22">
        <v>1445</v>
      </c>
      <c r="I41" s="22">
        <v>1722</v>
      </c>
      <c r="J41" s="22">
        <v>1196</v>
      </c>
      <c r="K41" s="22">
        <v>7747</v>
      </c>
    </row>
    <row r="42" spans="1:11" x14ac:dyDescent="0.3">
      <c r="E42" s="29" t="s">
        <v>7</v>
      </c>
      <c r="F42" s="22">
        <v>372</v>
      </c>
      <c r="G42" s="22">
        <v>1818</v>
      </c>
      <c r="H42" s="22">
        <v>1346</v>
      </c>
      <c r="I42" s="22">
        <v>1156</v>
      </c>
      <c r="J42" s="22">
        <v>1484</v>
      </c>
      <c r="K42" s="22">
        <v>6176</v>
      </c>
    </row>
    <row r="43" spans="1:11" x14ac:dyDescent="0.3">
      <c r="E43" s="29" t="s">
        <v>22</v>
      </c>
      <c r="F43" s="22">
        <v>1415</v>
      </c>
      <c r="G43" s="22">
        <v>1271</v>
      </c>
      <c r="H43" s="22">
        <v>1214</v>
      </c>
      <c r="I43" s="22">
        <v>1135</v>
      </c>
      <c r="J43" s="22">
        <v>1566</v>
      </c>
      <c r="K43" s="22">
        <v>6601</v>
      </c>
    </row>
    <row r="44" spans="1:11" x14ac:dyDescent="0.3">
      <c r="E44" s="29" t="s">
        <v>21</v>
      </c>
      <c r="F44" s="22">
        <v>1362</v>
      </c>
      <c r="G44" s="22">
        <v>1363</v>
      </c>
      <c r="H44" s="22">
        <v>1152</v>
      </c>
      <c r="I44" s="22">
        <v>777</v>
      </c>
      <c r="J44" s="22">
        <v>750</v>
      </c>
      <c r="K44"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F18" sqref="F18"/>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900E-9756-49CE-9652-BD127D76B292}">
  <dimension ref="A1:BG110"/>
  <sheetViews>
    <sheetView tabSelected="1" zoomScale="70" zoomScaleNormal="70" workbookViewId="0">
      <selection activeCell="X17" sqref="X17"/>
    </sheetView>
  </sheetViews>
  <sheetFormatPr defaultRowHeight="14.4" x14ac:dyDescent="0.3"/>
  <cols>
    <col min="1" max="2" width="4.5" customWidth="1"/>
    <col min="15" max="15" width="10.3984375" customWidth="1"/>
    <col min="16" max="16" width="12.59765625" customWidth="1"/>
    <col min="17" max="21" width="10.59765625" customWidth="1"/>
    <col min="22" max="22" width="10.296875" customWidth="1"/>
  </cols>
  <sheetData>
    <row r="1" spans="1:59"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row>
    <row r="2" spans="1:59"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row>
    <row r="3" spans="1:59"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row>
    <row r="4" spans="1:59"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row>
    <row r="5" spans="1:59"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row>
    <row r="6" spans="1:59"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row>
    <row r="7" spans="1:59"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row>
    <row r="8" spans="1:59"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row>
    <row r="9" spans="1:59"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row>
    <row r="10" spans="1:59"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row>
    <row r="11" spans="1:59"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row>
    <row r="12" spans="1:59"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row>
    <row r="13" spans="1:59"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row>
    <row r="14" spans="1:59"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row>
    <row r="15" spans="1:59"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row>
    <row r="16" spans="1:59"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row>
    <row r="17" spans="1:59"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row>
    <row r="18" spans="1:59"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row>
    <row r="19" spans="1:59" ht="18" x14ac:dyDescent="0.35">
      <c r="A19" s="20"/>
      <c r="B19" s="20"/>
      <c r="C19" s="20"/>
      <c r="D19" s="20"/>
      <c r="E19" s="20"/>
      <c r="F19" s="20"/>
      <c r="G19" s="20"/>
      <c r="H19" s="20"/>
      <c r="I19" s="20"/>
      <c r="J19" s="20"/>
      <c r="K19" s="20"/>
      <c r="L19" s="20"/>
      <c r="M19" s="20"/>
      <c r="N19" s="20"/>
      <c r="O19" s="20"/>
      <c r="P19" s="30"/>
      <c r="Q19" s="33" t="str" cm="1">
        <f t="array" ref="Q19:U19">Pivot!F26:J26</f>
        <v>R01</v>
      </c>
      <c r="R19" s="32" t="str">
        <v>R02</v>
      </c>
      <c r="S19" s="32" t="str">
        <v>R03</v>
      </c>
      <c r="T19" s="32" t="str">
        <v>R04</v>
      </c>
      <c r="U19" s="32" t="str">
        <v>R05</v>
      </c>
      <c r="V19" s="32" t="s">
        <v>1077</v>
      </c>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row>
    <row r="20" spans="1:59" ht="18" x14ac:dyDescent="0.35">
      <c r="A20" s="20"/>
      <c r="B20" s="20"/>
      <c r="C20" s="20"/>
      <c r="D20" s="20"/>
      <c r="E20" s="20"/>
      <c r="F20" s="20"/>
      <c r="G20" s="20"/>
      <c r="H20" s="20"/>
      <c r="I20" s="20"/>
      <c r="J20" s="20"/>
      <c r="K20" s="20"/>
      <c r="L20" s="20"/>
      <c r="M20" s="20"/>
      <c r="N20" s="20"/>
      <c r="O20" s="20"/>
      <c r="P20" s="33" t="str" cm="1">
        <f t="array" ref="P20:V37">IF(Pivot!E27:K44="","",Pivot!E27:K44)</f>
        <v>Cincinnati</v>
      </c>
      <c r="Q20" s="30" t="str">
        <v/>
      </c>
      <c r="R20" s="30" t="str">
        <v/>
      </c>
      <c r="S20" s="30" t="str">
        <v/>
      </c>
      <c r="T20" s="30" t="str">
        <v/>
      </c>
      <c r="U20" s="30" t="str">
        <v/>
      </c>
      <c r="V20" s="38" t="str">
        <v/>
      </c>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row>
    <row r="21" spans="1:59" x14ac:dyDescent="0.3">
      <c r="A21" s="20"/>
      <c r="B21" s="20"/>
      <c r="C21" s="20"/>
      <c r="D21" s="20"/>
      <c r="E21" s="20"/>
      <c r="F21" s="20"/>
      <c r="G21" s="20"/>
      <c r="H21" s="20"/>
      <c r="I21" s="20"/>
      <c r="J21" s="20"/>
      <c r="K21" s="20"/>
      <c r="L21" s="20"/>
      <c r="M21" s="20"/>
      <c r="N21" s="20"/>
      <c r="O21" s="20"/>
      <c r="P21" s="34" t="str">
        <v>C0003</v>
      </c>
      <c r="Q21" s="31">
        <v>891</v>
      </c>
      <c r="R21" s="31">
        <v>1332</v>
      </c>
      <c r="S21" s="31">
        <v>1282</v>
      </c>
      <c r="T21" s="31">
        <v>739</v>
      </c>
      <c r="U21" s="31">
        <v>560</v>
      </c>
      <c r="V21" s="37">
        <v>4804</v>
      </c>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row>
    <row r="22" spans="1:59" x14ac:dyDescent="0.3">
      <c r="A22" s="20"/>
      <c r="B22" s="20"/>
      <c r="C22" s="20"/>
      <c r="D22" s="20"/>
      <c r="E22" s="20"/>
      <c r="F22" s="20"/>
      <c r="G22" s="20"/>
      <c r="H22" s="20"/>
      <c r="I22" s="20"/>
      <c r="J22" s="20"/>
      <c r="K22" s="20"/>
      <c r="L22" s="20"/>
      <c r="M22" s="20"/>
      <c r="N22" s="20"/>
      <c r="O22" s="20"/>
      <c r="P22" s="35" t="str">
        <v>C0004</v>
      </c>
      <c r="Q22" s="31">
        <v>1991</v>
      </c>
      <c r="R22" s="31">
        <v>1886</v>
      </c>
      <c r="S22" s="31">
        <v>1206</v>
      </c>
      <c r="T22" s="31">
        <v>884</v>
      </c>
      <c r="U22" s="31">
        <v>1722</v>
      </c>
      <c r="V22" s="37">
        <v>7689</v>
      </c>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row>
    <row r="23" spans="1:59" x14ac:dyDescent="0.3">
      <c r="A23" s="20"/>
      <c r="B23" s="20"/>
      <c r="C23" s="20"/>
      <c r="D23" s="20"/>
      <c r="E23" s="20"/>
      <c r="F23" s="20"/>
      <c r="G23" s="20"/>
      <c r="H23" s="20"/>
      <c r="I23" s="20"/>
      <c r="J23" s="20"/>
      <c r="K23" s="20"/>
      <c r="L23" s="20"/>
      <c r="M23" s="20"/>
      <c r="N23" s="20"/>
      <c r="O23" s="20"/>
      <c r="P23" s="35" t="str">
        <v>C0011</v>
      </c>
      <c r="Q23" s="31">
        <v>1163</v>
      </c>
      <c r="R23" s="31">
        <v>1180</v>
      </c>
      <c r="S23" s="31">
        <v>1616</v>
      </c>
      <c r="T23" s="31">
        <v>1043</v>
      </c>
      <c r="U23" s="31">
        <v>1747</v>
      </c>
      <c r="V23" s="37">
        <v>6749</v>
      </c>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row>
    <row r="24" spans="1:59" x14ac:dyDescent="0.3">
      <c r="A24" s="20"/>
      <c r="B24" s="20"/>
      <c r="C24" s="20"/>
      <c r="D24" s="20"/>
      <c r="E24" s="20"/>
      <c r="F24" s="20"/>
      <c r="G24" s="20"/>
      <c r="H24" s="20"/>
      <c r="I24" s="20"/>
      <c r="J24" s="20"/>
      <c r="K24" s="20"/>
      <c r="L24" s="20"/>
      <c r="M24" s="20"/>
      <c r="N24" s="20"/>
      <c r="O24" s="20"/>
      <c r="P24" s="36" t="str">
        <v>C0012</v>
      </c>
      <c r="Q24" s="31">
        <v>1438</v>
      </c>
      <c r="R24" s="31">
        <v>1616</v>
      </c>
      <c r="S24" s="31">
        <v>866</v>
      </c>
      <c r="T24" s="31">
        <v>829</v>
      </c>
      <c r="U24" s="31">
        <v>2070</v>
      </c>
      <c r="V24" s="37">
        <v>6819</v>
      </c>
      <c r="W24" s="20"/>
      <c r="X24" s="20" t="s">
        <v>1078</v>
      </c>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row>
    <row r="25" spans="1:59" ht="18" x14ac:dyDescent="0.35">
      <c r="A25" s="20"/>
      <c r="B25" s="20"/>
      <c r="C25" s="20"/>
      <c r="D25" s="20"/>
      <c r="E25" s="20"/>
      <c r="F25" s="20"/>
      <c r="G25" s="20"/>
      <c r="H25" s="20"/>
      <c r="I25" s="20"/>
      <c r="J25" s="20"/>
      <c r="K25" s="20"/>
      <c r="L25" s="20"/>
      <c r="M25" s="20"/>
      <c r="N25" s="20"/>
      <c r="O25" s="20"/>
      <c r="P25" s="33" t="str">
        <v>Cleveland</v>
      </c>
      <c r="Q25" s="31" t="str">
        <v/>
      </c>
      <c r="R25" s="31" t="str">
        <v/>
      </c>
      <c r="S25" s="31" t="str">
        <v/>
      </c>
      <c r="T25" s="31" t="str">
        <v/>
      </c>
      <c r="U25" s="31" t="str">
        <v/>
      </c>
      <c r="V25" s="37" t="str">
        <v/>
      </c>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row>
    <row r="26" spans="1:59" x14ac:dyDescent="0.3">
      <c r="A26" s="20"/>
      <c r="B26" s="20"/>
      <c r="C26" s="20"/>
      <c r="D26" s="20"/>
      <c r="E26" s="20"/>
      <c r="F26" s="20"/>
      <c r="G26" s="20"/>
      <c r="H26" s="20"/>
      <c r="I26" s="20"/>
      <c r="J26" s="20"/>
      <c r="K26" s="20"/>
      <c r="L26" s="20"/>
      <c r="M26" s="20"/>
      <c r="N26" s="20"/>
      <c r="O26" s="20"/>
      <c r="P26" s="34" t="str">
        <v>C0002</v>
      </c>
      <c r="Q26" s="31">
        <v>1233</v>
      </c>
      <c r="R26" s="31">
        <v>223</v>
      </c>
      <c r="S26" s="31">
        <v>1680</v>
      </c>
      <c r="T26" s="31">
        <v>990</v>
      </c>
      <c r="U26" s="31">
        <v>1508</v>
      </c>
      <c r="V26" s="37">
        <v>5634</v>
      </c>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row>
    <row r="27" spans="1:59" x14ac:dyDescent="0.3">
      <c r="A27" s="20"/>
      <c r="B27" s="20"/>
      <c r="C27" s="20"/>
      <c r="D27" s="20"/>
      <c r="E27" s="20"/>
      <c r="F27" s="20"/>
      <c r="G27" s="20"/>
      <c r="H27" s="20"/>
      <c r="I27" s="20"/>
      <c r="J27" s="20"/>
      <c r="K27" s="20"/>
      <c r="L27" s="20"/>
      <c r="M27" s="20"/>
      <c r="N27" s="20"/>
      <c r="O27" s="20"/>
      <c r="P27" s="35" t="str">
        <v>C0007</v>
      </c>
      <c r="Q27" s="31">
        <v>1598</v>
      </c>
      <c r="R27" s="31">
        <v>1907</v>
      </c>
      <c r="S27" s="31">
        <v>869</v>
      </c>
      <c r="T27" s="31">
        <v>1426</v>
      </c>
      <c r="U27" s="31">
        <v>1416</v>
      </c>
      <c r="V27" s="37">
        <v>7216</v>
      </c>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row>
    <row r="28" spans="1:59" x14ac:dyDescent="0.3">
      <c r="A28" s="20"/>
      <c r="B28" s="20"/>
      <c r="C28" s="20"/>
      <c r="D28" s="20"/>
      <c r="E28" s="20"/>
      <c r="F28" s="20"/>
      <c r="G28" s="20"/>
      <c r="H28" s="20"/>
      <c r="I28" s="20"/>
      <c r="J28" s="20"/>
      <c r="K28" s="20"/>
      <c r="L28" s="20"/>
      <c r="M28" s="20"/>
      <c r="N28" s="20"/>
      <c r="O28" s="20"/>
      <c r="P28" s="35" t="str">
        <v>C0008</v>
      </c>
      <c r="Q28" s="31">
        <v>900</v>
      </c>
      <c r="R28" s="31">
        <v>1016</v>
      </c>
      <c r="S28" s="31">
        <v>960</v>
      </c>
      <c r="T28" s="31">
        <v>940</v>
      </c>
      <c r="U28" s="31">
        <v>1193</v>
      </c>
      <c r="V28" s="37">
        <v>5009</v>
      </c>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row>
    <row r="29" spans="1:59" x14ac:dyDescent="0.3">
      <c r="A29" s="20"/>
      <c r="B29" s="20"/>
      <c r="C29" s="20"/>
      <c r="D29" s="20"/>
      <c r="E29" s="20"/>
      <c r="F29" s="20"/>
      <c r="G29" s="20"/>
      <c r="H29" s="20"/>
      <c r="I29" s="20"/>
      <c r="J29" s="20"/>
      <c r="K29" s="20"/>
      <c r="L29" s="20"/>
      <c r="M29" s="20"/>
      <c r="N29" s="20"/>
      <c r="O29" s="20"/>
      <c r="P29" s="35" t="str">
        <v>C0010</v>
      </c>
      <c r="Q29" s="31">
        <v>900</v>
      </c>
      <c r="R29" s="31">
        <v>1470</v>
      </c>
      <c r="S29" s="31">
        <v>1617</v>
      </c>
      <c r="T29" s="31">
        <v>1314</v>
      </c>
      <c r="U29" s="31">
        <v>941</v>
      </c>
      <c r="V29" s="37">
        <v>6242</v>
      </c>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row>
    <row r="30" spans="1:59" x14ac:dyDescent="0.3">
      <c r="A30" s="20"/>
      <c r="B30" s="20"/>
      <c r="C30" s="20"/>
      <c r="D30" s="20"/>
      <c r="E30" s="20"/>
      <c r="F30" s="20"/>
      <c r="G30" s="20"/>
      <c r="H30" s="20"/>
      <c r="I30" s="20"/>
      <c r="J30" s="20"/>
      <c r="K30" s="20"/>
      <c r="L30" s="20"/>
      <c r="M30" s="20"/>
      <c r="N30" s="20"/>
      <c r="O30" s="20"/>
      <c r="P30" s="35" t="str">
        <v>C0013</v>
      </c>
      <c r="Q30" s="31">
        <v>1255</v>
      </c>
      <c r="R30" s="31">
        <v>516</v>
      </c>
      <c r="S30" s="31">
        <v>1874</v>
      </c>
      <c r="T30" s="31">
        <v>1863</v>
      </c>
      <c r="U30" s="31">
        <v>1722</v>
      </c>
      <c r="V30" s="37">
        <v>7230</v>
      </c>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row>
    <row r="31" spans="1:59" x14ac:dyDescent="0.3">
      <c r="A31" s="20"/>
      <c r="B31" s="20"/>
      <c r="C31" s="20"/>
      <c r="D31" s="20"/>
      <c r="E31" s="20"/>
      <c r="F31" s="20"/>
      <c r="G31" s="20"/>
      <c r="H31" s="20"/>
      <c r="I31" s="20"/>
      <c r="J31" s="20"/>
      <c r="K31" s="20"/>
      <c r="L31" s="20"/>
      <c r="M31" s="20"/>
      <c r="N31" s="20"/>
      <c r="O31" s="20"/>
      <c r="P31" s="35" t="str">
        <v>C0015</v>
      </c>
      <c r="Q31" s="31">
        <v>1138</v>
      </c>
      <c r="R31" s="31">
        <v>1898</v>
      </c>
      <c r="S31" s="31">
        <v>1482</v>
      </c>
      <c r="T31" s="31">
        <v>846</v>
      </c>
      <c r="U31" s="31">
        <v>1154</v>
      </c>
      <c r="V31" s="37">
        <v>6518</v>
      </c>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row>
    <row r="32" spans="1:59" ht="18" x14ac:dyDescent="0.35">
      <c r="A32" s="20"/>
      <c r="B32" s="20"/>
      <c r="C32" s="20"/>
      <c r="D32" s="20"/>
      <c r="E32" s="20"/>
      <c r="F32" s="20"/>
      <c r="G32" s="20"/>
      <c r="H32" s="20"/>
      <c r="I32" s="20"/>
      <c r="J32" s="20"/>
      <c r="K32" s="20"/>
      <c r="L32" s="20"/>
      <c r="M32" s="20"/>
      <c r="N32" s="20"/>
      <c r="O32" s="20"/>
      <c r="P32" s="33" t="str">
        <v>Columbus</v>
      </c>
      <c r="Q32" s="31" t="str">
        <v/>
      </c>
      <c r="R32" s="31" t="str">
        <v/>
      </c>
      <c r="S32" s="31" t="str">
        <v/>
      </c>
      <c r="T32" s="31" t="str">
        <v/>
      </c>
      <c r="U32" s="31" t="str">
        <v/>
      </c>
      <c r="V32" s="37" t="str">
        <v/>
      </c>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row>
    <row r="33" spans="1:59" x14ac:dyDescent="0.3">
      <c r="A33" s="20"/>
      <c r="B33" s="20"/>
      <c r="C33" s="20"/>
      <c r="D33" s="20"/>
      <c r="E33" s="20"/>
      <c r="F33" s="20"/>
      <c r="G33" s="20"/>
      <c r="H33" s="20"/>
      <c r="I33" s="20"/>
      <c r="J33" s="20"/>
      <c r="K33" s="20"/>
      <c r="L33" s="20"/>
      <c r="M33" s="20"/>
      <c r="N33" s="20"/>
      <c r="O33" s="20"/>
      <c r="P33" s="35" t="str">
        <v>C0001</v>
      </c>
      <c r="Q33" s="31">
        <v>1655</v>
      </c>
      <c r="R33" s="31">
        <v>805</v>
      </c>
      <c r="S33" s="31">
        <v>2263</v>
      </c>
      <c r="T33" s="31">
        <v>987</v>
      </c>
      <c r="U33" s="31">
        <v>1075</v>
      </c>
      <c r="V33" s="37">
        <v>6785</v>
      </c>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row>
    <row r="34" spans="1:59" x14ac:dyDescent="0.3">
      <c r="A34" s="20"/>
      <c r="B34" s="20"/>
      <c r="C34" s="20"/>
      <c r="D34" s="20"/>
      <c r="E34" s="20"/>
      <c r="F34" s="20"/>
      <c r="G34" s="20"/>
      <c r="H34" s="20"/>
      <c r="I34" s="20"/>
      <c r="J34" s="20"/>
      <c r="K34" s="20"/>
      <c r="L34" s="20"/>
      <c r="M34" s="20"/>
      <c r="N34" s="20"/>
      <c r="O34" s="20"/>
      <c r="P34" s="35" t="str">
        <v>C0005</v>
      </c>
      <c r="Q34" s="31">
        <v>1104</v>
      </c>
      <c r="R34" s="31">
        <v>2280</v>
      </c>
      <c r="S34" s="31">
        <v>1445</v>
      </c>
      <c r="T34" s="31">
        <v>1722</v>
      </c>
      <c r="U34" s="31">
        <v>1196</v>
      </c>
      <c r="V34" s="37">
        <v>7747</v>
      </c>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row>
    <row r="35" spans="1:59" x14ac:dyDescent="0.3">
      <c r="A35" s="20"/>
      <c r="B35" s="20"/>
      <c r="C35" s="20"/>
      <c r="D35" s="20"/>
      <c r="E35" s="20"/>
      <c r="F35" s="20"/>
      <c r="G35" s="20"/>
      <c r="H35" s="20"/>
      <c r="I35" s="20"/>
      <c r="J35" s="20"/>
      <c r="K35" s="20"/>
      <c r="L35" s="20"/>
      <c r="M35" s="20"/>
      <c r="N35" s="20"/>
      <c r="O35" s="20"/>
      <c r="P35" s="35" t="str">
        <v>C0006</v>
      </c>
      <c r="Q35" s="31">
        <v>372</v>
      </c>
      <c r="R35" s="31">
        <v>1818</v>
      </c>
      <c r="S35" s="31">
        <v>1346</v>
      </c>
      <c r="T35" s="31">
        <v>1156</v>
      </c>
      <c r="U35" s="31">
        <v>1484</v>
      </c>
      <c r="V35" s="37">
        <v>6176</v>
      </c>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row>
    <row r="36" spans="1:59" x14ac:dyDescent="0.3">
      <c r="A36" s="20"/>
      <c r="B36" s="20"/>
      <c r="C36" s="20"/>
      <c r="D36" s="20"/>
      <c r="E36" s="20"/>
      <c r="F36" s="20"/>
      <c r="G36" s="20"/>
      <c r="H36" s="20"/>
      <c r="I36" s="20"/>
      <c r="J36" s="20"/>
      <c r="K36" s="20"/>
      <c r="L36" s="20"/>
      <c r="M36" s="20"/>
      <c r="N36" s="20"/>
      <c r="O36" s="20"/>
      <c r="P36" s="35" t="str">
        <v>C0009</v>
      </c>
      <c r="Q36" s="31">
        <v>1415</v>
      </c>
      <c r="R36" s="31">
        <v>1271</v>
      </c>
      <c r="S36" s="31">
        <v>1214</v>
      </c>
      <c r="T36" s="31">
        <v>1135</v>
      </c>
      <c r="U36" s="31">
        <v>1566</v>
      </c>
      <c r="V36" s="37">
        <v>6601</v>
      </c>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row>
    <row r="37" spans="1:59" x14ac:dyDescent="0.3">
      <c r="A37" s="20"/>
      <c r="B37" s="20"/>
      <c r="C37" s="20"/>
      <c r="D37" s="20"/>
      <c r="E37" s="20"/>
      <c r="F37" s="20"/>
      <c r="G37" s="20"/>
      <c r="H37" s="20"/>
      <c r="I37" s="20"/>
      <c r="J37" s="20"/>
      <c r="K37" s="20"/>
      <c r="L37" s="20"/>
      <c r="M37" s="20"/>
      <c r="N37" s="20"/>
      <c r="O37" s="20"/>
      <c r="P37" s="35" t="str">
        <v>C0014</v>
      </c>
      <c r="Q37" s="31">
        <v>1362</v>
      </c>
      <c r="R37" s="31">
        <v>1363</v>
      </c>
      <c r="S37" s="31">
        <v>1152</v>
      </c>
      <c r="T37" s="31">
        <v>777</v>
      </c>
      <c r="U37" s="31">
        <v>750</v>
      </c>
      <c r="V37" s="37">
        <v>5404</v>
      </c>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row>
    <row r="38" spans="1:59"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row>
    <row r="39" spans="1:59"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row>
    <row r="40" spans="1:59"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row>
    <row r="41" spans="1:59"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row>
    <row r="42" spans="1:59"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row>
    <row r="43" spans="1:59"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row>
    <row r="44" spans="1:59"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row>
    <row r="45" spans="1:59"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row>
    <row r="46" spans="1:59"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row>
    <row r="47" spans="1:59"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row>
    <row r="48" spans="1:59"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row>
    <row r="49" spans="1:59"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row>
    <row r="50" spans="1:59"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row>
    <row r="51" spans="1:59"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row>
    <row r="52" spans="1:59"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row>
    <row r="53" spans="1:59"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row>
    <row r="54" spans="1:59"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row>
    <row r="55" spans="1:59"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row>
    <row r="56" spans="1:59"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row>
    <row r="57" spans="1:59"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row>
    <row r="58" spans="1:59"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row>
    <row r="59" spans="1:59"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row>
    <row r="60" spans="1:59"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row>
    <row r="61" spans="1:59"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row>
    <row r="62" spans="1:59"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row>
    <row r="63" spans="1:59"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row>
    <row r="64" spans="1:59"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row>
    <row r="65" spans="1:59"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row>
    <row r="66" spans="1:59"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row>
    <row r="67" spans="1:59"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row>
    <row r="68" spans="1:59"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row>
    <row r="69" spans="1:59"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row>
    <row r="70" spans="1:59"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row>
    <row r="71" spans="1:59"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row>
    <row r="72" spans="1:59"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row>
    <row r="73" spans="1:59"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row>
    <row r="74" spans="1:59"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row>
    <row r="75" spans="1:59"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row>
    <row r="76" spans="1:59"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row>
    <row r="77" spans="1:59"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row>
    <row r="78" spans="1:59"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row>
    <row r="79" spans="1:59"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row>
    <row r="80" spans="1:59"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row>
    <row r="81" spans="1:59"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row>
    <row r="82" spans="1:59"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row>
    <row r="83" spans="1:59"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row>
    <row r="84" spans="1:59"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row>
    <row r="85" spans="1:59"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row>
    <row r="86" spans="1:59"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row>
    <row r="87" spans="1:59"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row>
    <row r="88" spans="1:59"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row>
    <row r="89" spans="1:59"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row>
    <row r="90" spans="1:59"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row>
    <row r="91" spans="1:59"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row>
    <row r="92" spans="1:59"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row>
    <row r="93" spans="1:59"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row>
    <row r="94" spans="1:59"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row>
    <row r="95" spans="1:59"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row>
    <row r="96" spans="1:59"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row>
    <row r="97" spans="1:59"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row>
    <row r="98" spans="1:59"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row>
    <row r="99" spans="1:59"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row>
    <row r="100" spans="1:59"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row>
    <row r="101" spans="1:59"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row>
    <row r="102" spans="1:59"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row>
    <row r="103" spans="1:59"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row>
    <row r="104" spans="1:59"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row>
    <row r="105" spans="1:59"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row>
    <row r="106" spans="1:59"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row>
    <row r="107" spans="1:59"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row>
    <row r="108" spans="1:59"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row>
    <row r="109" spans="1:59"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row>
    <row r="110" spans="1:59"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row>
  </sheetData>
  <conditionalFormatting sqref="Q21:U37">
    <cfRule type="dataBar" priority="2">
      <dataBar>
        <cfvo type="num" val="0"/>
        <cfvo type="formula" val="MAX($Q$21:$U$37)*2"/>
        <color theme="1" tint="0.14999847407452621"/>
      </dataBar>
      <extLst>
        <ext xmlns:x14="http://schemas.microsoft.com/office/spreadsheetml/2009/9/main" uri="{B025F937-C7B1-47D3-B67F-A62EFF666E3E}">
          <x14:id>{341AF231-BC06-4E64-81E3-B3345DA34867}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A72B2EAA-A91B-4A66-92D5-6BF3E2F1BB9D}">
            <xm:f>Q$19=Pivot!$Q$6</xm:f>
            <x14:dxf>
              <fill>
                <patternFill>
                  <bgColor theme="8" tint="0.59996337778862885"/>
                </patternFill>
              </fill>
              <border>
                <left style="thin">
                  <color theme="1" tint="0.24994659260841701"/>
                </left>
                <right style="thin">
                  <color theme="1" tint="0.24994659260841701"/>
                </right>
                <vertical/>
                <horizontal/>
              </border>
            </x14:dxf>
          </x14:cfRule>
          <xm:sqref>Q19:U37</xm:sqref>
        </x14:conditionalFormatting>
        <x14:conditionalFormatting xmlns:xm="http://schemas.microsoft.com/office/excel/2006/main">
          <x14:cfRule type="dataBar" id="{341AF231-BC06-4E64-81E3-B3345DA34867}">
            <x14:dataBar minLength="0" maxLength="100" gradient="0">
              <x14:cfvo type="num">
                <xm:f>0</xm:f>
              </x14:cfvo>
              <x14:cfvo type="formula">
                <xm:f>MAX($Q$21:$U$37)*2</xm:f>
              </x14:cfvo>
              <x14:negativeFillColor rgb="FFFF0000"/>
              <x14:axisColor rgb="FF000000"/>
            </x14:dataBar>
          </x14:cfRule>
          <xm:sqref>Q21:U37</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G5" sqref="G5"/>
    </sheetView>
  </sheetViews>
  <sheetFormatPr defaultRowHeight="14.4" x14ac:dyDescent="0.3"/>
  <cols>
    <col min="5" max="5" width="10.8984375" customWidth="1"/>
    <col min="6" max="6" width="13.69921875" customWidth="1"/>
  </cols>
  <sheetData>
    <row r="2" spans="5:6" x14ac:dyDescent="0.3">
      <c r="E2" t="s">
        <v>1040</v>
      </c>
      <c r="F2" t="s">
        <v>1041</v>
      </c>
    </row>
    <row r="3" spans="5:6" ht="25.5" customHeight="1" x14ac:dyDescent="0.3">
      <c r="E3" t="s">
        <v>11</v>
      </c>
    </row>
    <row r="4" spans="5:6" ht="25.5" customHeight="1" x14ac:dyDescent="0.3">
      <c r="E4" t="s">
        <v>9</v>
      </c>
    </row>
    <row r="5" spans="5:6" ht="25.5" customHeight="1" x14ac:dyDescent="0.3">
      <c r="E5" t="s">
        <v>6</v>
      </c>
    </row>
    <row r="6" spans="5:6" ht="25.5" customHeight="1" x14ac:dyDescent="0.3">
      <c r="E6" t="s">
        <v>13</v>
      </c>
    </row>
    <row r="7" spans="5:6" ht="25.5" customHeight="1" x14ac:dyDescent="0.3">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Bharat Tambad</cp:lastModifiedBy>
  <dcterms:created xsi:type="dcterms:W3CDTF">2021-03-14T20:21:32Z</dcterms:created>
  <dcterms:modified xsi:type="dcterms:W3CDTF">2026-03-26T06:20:24Z</dcterms:modified>
</cp:coreProperties>
</file>